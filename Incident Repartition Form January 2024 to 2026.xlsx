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win10\Desktop\"/>
    </mc:Choice>
  </mc:AlternateContent>
  <bookViews>
    <workbookView minimized="1" xWindow="0" yWindow="0" windowWidth="20490" windowHeight="8340" firstSheet="1" activeTab="2"/>
  </bookViews>
  <sheets>
    <sheet name="Incident Repartition" sheetId="1" r:id="rId1"/>
    <sheet name="Process Safety Chart" sheetId="5" r:id="rId2"/>
    <sheet name="Incident Lists" sheetId="4" r:id="rId3"/>
    <sheet name="data analysis" sheetId="10" r:id="rId4"/>
    <sheet name="Incidents breakdown" sheetId="11" r:id="rId5"/>
  </sheets>
  <externalReferences>
    <externalReference r:id="rId6"/>
  </externalReferences>
  <definedNames>
    <definedName name="_xlnm._FilterDatabase" localSheetId="2" hidden="1">'Incident Lists'!$A$6:$U$24</definedName>
  </definedNames>
  <calcPr calcId="162913"/>
  <pivotCaches>
    <pivotCache cacheId="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1" l="1"/>
  <c r="B5" i="11"/>
  <c r="B4" i="11"/>
  <c r="B3" i="11"/>
  <c r="B2" i="11"/>
  <c r="B1" i="11"/>
</calcChain>
</file>

<file path=xl/comments1.xml><?xml version="1.0" encoding="utf-8"?>
<comments xmlns="http://schemas.openxmlformats.org/spreadsheetml/2006/main">
  <authors>
    <author>Jean Paul Vander Ende</author>
  </authors>
  <commentList>
    <comment ref="F6" authorId="0" shapeId="0">
      <text>
        <r>
          <rPr>
            <b/>
            <sz val="9"/>
            <color indexed="81"/>
            <rFont val="Tahoma"/>
            <family val="2"/>
          </rPr>
          <t>JPVDE:
Env
Sec
Injury/Illness
Asset Damage
Transportation</t>
        </r>
        <r>
          <rPr>
            <sz val="9"/>
            <color indexed="81"/>
            <rFont val="Tahoma"/>
            <family val="2"/>
          </rPr>
          <t xml:space="preserve">
</t>
        </r>
      </text>
    </comment>
    <comment ref="I6" authorId="0" shapeId="0">
      <text>
        <r>
          <rPr>
            <b/>
            <sz val="9"/>
            <color indexed="81"/>
            <rFont val="Tahoma"/>
            <family val="2"/>
          </rPr>
          <t>JPVDE:</t>
        </r>
        <r>
          <rPr>
            <sz val="9"/>
            <color indexed="81"/>
            <rFont val="Tahoma"/>
            <family val="2"/>
          </rPr>
          <t xml:space="preserve">
FAC
MTC
RWC
LTI
FAT
HiPo
N/A</t>
        </r>
      </text>
    </comment>
  </commentList>
</comments>
</file>

<file path=xl/sharedStrings.xml><?xml version="1.0" encoding="utf-8"?>
<sst xmlns="http://schemas.openxmlformats.org/spreadsheetml/2006/main" count="316" uniqueCount="193">
  <si>
    <t>Asset Integrity / Process Safety</t>
  </si>
  <si>
    <t>Non Work-Related Incident</t>
  </si>
  <si>
    <t>Security</t>
  </si>
  <si>
    <t>PSE Tier 1</t>
  </si>
  <si>
    <t>PSE Tier 2</t>
  </si>
  <si>
    <t>PSE Tier 3</t>
  </si>
  <si>
    <t>PSE Tier 4</t>
  </si>
  <si>
    <t>Asset Integrity (Facility)</t>
  </si>
  <si>
    <t>Asset Integrity (Pipeline)</t>
  </si>
  <si>
    <t>Asset Integrity (Structure)</t>
  </si>
  <si>
    <t>Asset Integrity (Well)</t>
  </si>
  <si>
    <t>TPS INCIDENT REPORTING DATABASE 2024</t>
  </si>
  <si>
    <t>N°</t>
  </si>
  <si>
    <t>Reported by</t>
  </si>
  <si>
    <t>Site</t>
  </si>
  <si>
    <t>Location on site</t>
  </si>
  <si>
    <t>Date/ Time Occurred</t>
  </si>
  <si>
    <t>PEAR Class</t>
  </si>
  <si>
    <t>Sub category</t>
  </si>
  <si>
    <t>Brief Decription including injury, damage, loss or spill info</t>
  </si>
  <si>
    <t>Inc Type if injury</t>
  </si>
  <si>
    <t>If Asset integrity incident
(Facility/Pipeline/Structure/Well)</t>
  </si>
  <si>
    <t>Damaged zone</t>
  </si>
  <si>
    <t>PSE Tiers (1/2/3/4)</t>
  </si>
  <si>
    <t>Act Sev</t>
  </si>
  <si>
    <t>Potl Sev</t>
  </si>
  <si>
    <t>Investigation Done?</t>
  </si>
  <si>
    <t>Immediate Causes</t>
  </si>
  <si>
    <t>Root Causes</t>
  </si>
  <si>
    <t>CA's Taken</t>
  </si>
  <si>
    <t>Suggestions/recommendations</t>
  </si>
  <si>
    <t>A.GHATTASSI</t>
  </si>
  <si>
    <t>MAIN OFFICE</t>
  </si>
  <si>
    <t xml:space="preserve">2nd floor </t>
  </si>
  <si>
    <t>Injury/Illness</t>
  </si>
  <si>
    <t>Due to a disease, the cleaning maid hanged on the electrical cables and fell: trip hazard</t>
  </si>
  <si>
    <t>Meadical Treatment Case</t>
  </si>
  <si>
    <t>No</t>
  </si>
  <si>
    <t xml:space="preserve">She was in a hurry </t>
  </si>
  <si>
    <t>Lack of attention due to rush to end work</t>
  </si>
  <si>
    <t>Basic first aid provided. 
Informed cleanign lady to pay attention and to not rush, as rushing can only cause accidents and result in further delays.</t>
  </si>
  <si>
    <t>.Regular health check-ups for staff to ensure they are fit for their duties
.Regularly inspect the work environment for potential hazards, including loose cables and other trip hazards.</t>
  </si>
  <si>
    <t>A.LABYADH</t>
  </si>
  <si>
    <t>CERCINA</t>
  </si>
  <si>
    <t>DELTA PLATFORM</t>
  </si>
  <si>
    <t>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
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
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t>
  </si>
  <si>
    <t>LTI</t>
  </si>
  <si>
    <t>yes</t>
  </si>
  <si>
    <t>Accidental run of impact wrench</t>
  </si>
  <si>
    <t>TBD</t>
  </si>
  <si>
    <t xml:space="preserve">Stop work for safety stand down
Wrench was immediately removed from site ( No more used)
</t>
  </si>
  <si>
    <t>.Ensure an adequate supply of BA rings and GA pins for all Impact Wrenches in TPS.
.Provide initiation training / awareness sessions based on the Manufacturer Instructional Manual for Impact Wrench users.
.Provide trainings to relevant personnel on LOTO Procedures, Housekeeping and works in process areas. 
.Include hand-held tools and their manufacturer instructional manuals in risk assessments.
Integrate impact wrenches and other hand-held tools into the CMMS for regular maintenance.
.Ensure adequate resourcing for each specific task, including qualified job supervision.
.Notify the vendor / manufacturer about discrepancies in safety information in the Manufacturer Instruction Manual.
.Boost the implementation of a monitoring system for tool purchases and encourage timely registration in the warehouse.
.Enhance HSSE considerations throughout the supply chain process.
.Strengthen QA/QC processes for purchased tools.</t>
  </si>
  <si>
    <t>R.RAHALI / H.BEN BEY</t>
  </si>
  <si>
    <t>CERCINA 7A WO 5</t>
  </si>
  <si>
    <t>Asset damage</t>
  </si>
  <si>
    <t>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t>
  </si>
  <si>
    <t>Asset Integrity
(Tehnical)</t>
  </si>
  <si>
    <t>Facility</t>
  </si>
  <si>
    <t>Cer-3 and Cer sth 1 shut-in for about 1.5 hours</t>
  </si>
  <si>
    <t xml:space="preserve">Workover team wasn’t aware that this a Gas line. </t>
  </si>
  <si>
    <t>Lack of coordination between production and Workover</t>
  </si>
  <si>
    <t>Open the gas valve.</t>
  </si>
  <si>
    <t xml:space="preserve">Mark (signal) the valve to avoid error close. </t>
  </si>
  <si>
    <t>H.JARRAYA</t>
  </si>
  <si>
    <t>EL AIN</t>
  </si>
  <si>
    <t>EL AIN 3SD WO 6</t>
  </si>
  <si>
    <t>Two Electrical cables in bad shape due to false maneuver and excessive move of forklift on the cable guard protectors</t>
  </si>
  <si>
    <t>Asset Integrity
(Opertaional)</t>
  </si>
  <si>
    <t>Electrical cables</t>
  </si>
  <si>
    <t>False maneuvre of forklift operator in the same place</t>
  </si>
  <si>
    <t>The area is very limited</t>
  </si>
  <si>
    <t>Avoid move of forklift on electrical cabels
istruct the forklift operator to change the trajectory</t>
  </si>
  <si>
    <t>Use heavy-duty cable protectors designed to withstand the weight and movement of forklifts.
Protect electrical cables by laying them inside cable protective hamp.</t>
  </si>
  <si>
    <t>I.BEN HAMAD</t>
  </si>
  <si>
    <t>GUEBIBA STATION &amp;GUEBIBA CLUSTER</t>
  </si>
  <si>
    <t>GUEBIBA &amp;GUEBIBA CLUSTER</t>
  </si>
  <si>
    <t xml:space="preserve">During the previous period, the water cut of Guebiba cluster wells was increased, which caused the rise of flow line temperatures [Gue#2: 241 °F] ; [Gue#9: 230 °F] ; [Gue#10: 240 °F] ; [Gue#14: 228 °F]    </t>
  </si>
  <si>
    <t>Asset Integrity (Design &amp; Operational)</t>
  </si>
  <si>
    <t>Pipeline</t>
  </si>
  <si>
    <t>Pipeline expansion</t>
  </si>
  <si>
    <t>PSE
(Tier 3)</t>
  </si>
  <si>
    <t xml:space="preserve">Thermal expansion due to hot fluid temperatures within the pipeline </t>
  </si>
  <si>
    <t xml:space="preserve">The maximum operating temperature of the pipeline cannot support the high temperature of the fluid. </t>
  </si>
  <si>
    <t xml:space="preserve">Select only the well which can be supported by maximum operating temperature of the pipeline                                                                                                                                                 Added an expansion loop to reduce the effects of thermal movement.
Build a concrete anchor block from both sides to restrain the movement of the pipeline. </t>
  </si>
  <si>
    <t>During the phase of POOH of completion and after unset Packer &amp; POOH 8 joints, we noticed a high increase of overpull to 48 Tons (normal weight is 30 Tons). 
With presence of Weatherford completion engineer,  we working the string up &amp; down with 22 Tons  to 59 Tons, sucsseded to release the string and lay down working joint.
Try to pull additional joint but get stucked after 4 m. Made several attempts to free the string without success.
Secure the well and held meeting with completion engineer of Weatherford to agree on way forward.</t>
  </si>
  <si>
    <t>Asset Integrity (Technical)</t>
  </si>
  <si>
    <t>Well</t>
  </si>
  <si>
    <t xml:space="preserve">Probably deposits trapped between the Packer and Casing caused a stuck. </t>
  </si>
  <si>
    <t xml:space="preserve">.Lay down free joint. 
.Secure the well
.Submit an incident report </t>
  </si>
  <si>
    <t>M. BEN HAMMOUDA</t>
  </si>
  <si>
    <t xml:space="preserve">GUEBIBA </t>
  </si>
  <si>
    <t>El-HAJEB</t>
  </si>
  <si>
    <t>MEDEVAC</t>
  </si>
  <si>
    <t>At 11:15 the crew chief was informed about the watchman of El Hajeb Site feeling not good ( pain in the rib cage ).
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</si>
  <si>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</si>
  <si>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 xml:space="preserve">W.AGREBI </t>
  </si>
  <si>
    <t>TANK BATTERY</t>
  </si>
  <si>
    <t>During a routine survey for the Tank Battery field assets, a slight oily water leak was detetected on the level of flange bottom on the Pig receiver post SDV of the 8 inch Rehmoura TB pipeline entry in the TB field.</t>
  </si>
  <si>
    <t>Asset Integrity
(Technical)</t>
  </si>
  <si>
    <t>The Ring or flange face could be damaged</t>
  </si>
  <si>
    <t>PSE
(Tier 2)</t>
  </si>
  <si>
    <t xml:space="preserve">A doubt of corrosion in the internal part of the Ring groove or a damge in the Ring itself.  </t>
  </si>
  <si>
    <t>To be defined</t>
  </si>
  <si>
    <t>Plan for a deeper diagnosis and convenient repair with a dedicated reparation procedure.</t>
  </si>
  <si>
    <t xml:space="preserve">R.BEN DJEMAA  </t>
  </si>
  <si>
    <t>GUEBIBA 7</t>
  </si>
  <si>
    <t>During an operator’s visit to Gue#7, he noticed the absence of the watchman guard at 1:15 p.m. and when we contact him by telephone, he showed up at el-hajeb to purchase bread</t>
  </si>
  <si>
    <t>Replace the watchman</t>
  </si>
  <si>
    <t>.Provide additional training to the watchman on the importance of their role and responsibilities
.Establish a clear protocol for communication if the watchman needs to leave their post for any reason.</t>
  </si>
  <si>
    <t>UNREPORTED</t>
  </si>
  <si>
    <t>GUEBIBA</t>
  </si>
  <si>
    <t>EL-HAJEB</t>
  </si>
  <si>
    <t>JUNE</t>
  </si>
  <si>
    <t>Process Safety</t>
  </si>
  <si>
    <t>Oil leak coming out from El-Hajeb 7 wellhead. Action to shut in the well was taken and decision will be made to identify the way forward</t>
  </si>
  <si>
    <t>M.DAOUES</t>
  </si>
  <si>
    <t>6 INCH SEALINE</t>
  </si>
  <si>
    <t>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t>
  </si>
  <si>
    <t>NONE</t>
  </si>
  <si>
    <t>The existence of the free Span which could be increased due to high current frequency as per the metology. 
This area is known by frequent fishing activity.</t>
  </si>
  <si>
    <t>A  fishing boat Crew layed the anchor to the seabed for normal fishing activity near the sealine location.
By current activity, this anchor was attached to the sealine due to the free span which this area presents.
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t>
  </si>
  <si>
    <t>Free the pipe portion from the anchor.
Assess visually the pipe portion status further to this incident.
Repair the free span.
The pipe is presenting a small dent but not damaged as per the visual examination, however further to the next IP campaign (with geometric tool) we will check the extent of this dent as well as status of this exact location according to the GPS coordinates.
Increase the Free span survey frequency and plan the repair, if any, as soon as possible accordingly.</t>
  </si>
  <si>
    <t>F.HFAIADH</t>
  </si>
  <si>
    <t>After shift handover, the incoming crew was performing a routine tour when oily water droplets were detected from the 3" pipe linking the manifold to the V02 separator, through which CER#2 production was routed. The team immediately switched the production of CER#2 to V01 separator, isolated the leaking spool (length 6 m), and stopped the leak.
The crew chief informed the control room operator, who notified the concerned persons as per the ERP. A survey was performed by boat to check for any sea pollution, and no spill was detected at sea.
The site foreman was mobilized immediately to assess the situation with the team and determine if additional measures were required. 
The construction team is preparing a new spool to replace the damaged one. Scaffolding will be installed to facilitate the replacement.
A visual inspection revealed that the puncture was located between the pipe and the metallic support, indicating that the likely cause  of the failure was external galvanic corrosion.</t>
  </si>
  <si>
    <t xml:space="preserve">Galvanic Corrosion due to inadequate insulation between the pipe and the support </t>
  </si>
  <si>
    <t>Isolation of the leaking spool
Preparing a new spool for replacement
Check the insulation between pipes and related supports and proceed with adequate insulation.</t>
  </si>
  <si>
    <t>C.TAKTAK</t>
  </si>
  <si>
    <t>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
The National Guard arrived quickly and took custody of the three individuals. The incident caused no harm to people or property</t>
  </si>
  <si>
    <t>Repair Tank Battery gate, particulary the automation system</t>
  </si>
  <si>
    <t>H.BEN BEY</t>
  </si>
  <si>
    <t>GUEBIBA#14 WO MAIN GATE</t>
  </si>
  <si>
    <t xml:space="preserve">Only one banksman  
Poor supervision
</t>
  </si>
  <si>
    <t xml:space="preserve">-Stop work
'-Stand out time for safety during 30 mn in both site Gue#14 and Gue#3
'-Made a temporary gate to secure the well site during the night and initiate process with production to make a new gate  </t>
  </si>
  <si>
    <t>Near Miss</t>
  </si>
  <si>
    <t>some excavation works performed by SONED the public water company where TPS pipe passes around 300 m from Ain Site,  and no prior notification been addressed by SONED</t>
  </si>
  <si>
    <t>Security Incident near Cercina sealine: A partially submerged boat was discovered during the routine inspection of the sealine. Authorities were informed by TPS Security Coordinator and they stated that will take the necessary actions. NTR on people, asset, environment or reputation.</t>
  </si>
  <si>
    <t>Asset Integrity</t>
  </si>
  <si>
    <t>Official letter should be issued and submitted to SONEDE emphasizing this issue and highlighting what can be resulted if things become worsen. Attach all pipeline assets of TPS to the letter. This can also be generalized with the other potential public companies such as STEG.
Request the advanced center of fire brigade to enhance the level of surveillance at the hot spots.</t>
  </si>
  <si>
    <t>Medical Treatment Case</t>
  </si>
  <si>
    <t>Miscellaneous</t>
  </si>
  <si>
    <t>Work-Related Incident</t>
  </si>
  <si>
    <t>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t>
  </si>
  <si>
    <t xml:space="preserve"> TPS pipe</t>
  </si>
  <si>
    <t>Cercina sealine</t>
  </si>
  <si>
    <t>% distribution of 'Sub category'</t>
  </si>
  <si>
    <t>Count of Sub category</t>
  </si>
  <si>
    <t>At 11:30, during the start of water loading operations to tanker Cistern No. 117333, the pumper identified a leak from the tanker and immediately informed the crew chief. The crew chief coordinated with the onsite team and took swift action to manage the situation by isolating the truck in a designated safe area and placing a retention tray under the leak to prevent soil contamination. The crew chief then mobilized a vacuum truck from TEPS Company (TPS contractor accredited to transport contaminated water) to empty the tanker and ensure it was free from residual water. Approximately 2 to 3 liters of produced water were spilled from the tanker.</t>
  </si>
  <si>
    <t>Load out Station</t>
  </si>
  <si>
    <t>GUEBIBA BASE</t>
  </si>
  <si>
    <t xml:space="preserve">Internal corrosion of the the truck tanker       </t>
  </si>
  <si>
    <t>Lack of preventive inspection of the Contractor's tanker</t>
  </si>
  <si>
    <t xml:space="preserve">Isolated the truck in a designated safe area.
Placed a retention tray under the leak to prevent soil contamination.
Transferred the loaded quantity of produced water from the truck tanker using TEPS vacuum truck, ensuring the tank was fully emptied and free of residual water. </t>
  </si>
  <si>
    <t>Invite the contractor to an SQM.
Conduct a third-party inspection of all tankers due to the recurrence of similar incidents.
Ensure that a truck tanker equipped with a pump is on standby for immediate availability if needed, as recommended during the drill.
Select the adequate training for onsite personnel for intervention in case of leak from truck tanker</t>
  </si>
  <si>
    <t>When start water loading by truck using cistern n° 116201 at 20:50 the pumper detect a leak from tanker. Immediately inform the crew chief and proceed to discharge 45 bbls water process by TEPS Company .</t>
  </si>
  <si>
    <t>A.KARRA</t>
  </si>
  <si>
    <t>Water storage tanks area</t>
  </si>
  <si>
    <t xml:space="preserve"> An overflow occurred at a pits in the produced water unloading station. This incident was caused by heavy rainfall, which led to a rapid accumulation of water exceeding the drainage system’s capacity.
The overflowed water was mixed with a non-significant amount of crude oil, requiring a prompt intervention to limit environmental and operational impact.
Actions Taken:
* Immediate deployment of containment barriers to limit the spread.
* Team intervention to pump and recover the overflowed water.    
* Enhanced monitoring of weather conditions to anticipate future similar incidents.</t>
  </si>
  <si>
    <t>Heavy water rain and pump malfunction.</t>
  </si>
  <si>
    <t>* Study of drainage capacity reinforcement in case of heavy rainfall.
* Awareness training for teams on emergency procedures in case of overflow.                                                                                                                                                                    * The incident was brought under control with no major impact on operations. However, preventive measures must be implemented to prevent such a situation from recurring in the event of extreme weather conditions.</t>
  </si>
  <si>
    <t>I have been informed that ONAS is conducting repair works on an underground pipeline at El Ain Road km 6 (Merkez Ben Hlima). During these operations, the SONEDE underground pipeline was accidentally damaged causing water to flood the trench which was excavated using a backhoe loader.
Within this trench, TPS has a 10”x14” pipeline (not in service) located between the ONAS and SONEDE lines, with the ONAS line positioned underneath our asset. Due to the flooding, it is unclear whether our pipeline has been affected or not. The incident coordinator has informed key stakeholders including the regional directorate of ONAS.
Given the lack of prior notification and the risk posed to TPS assets, it is critical that these ongoing works be closely monitored to prevent any potential damage. Additionally, we need to formally inform ONAS about this event and kindly remind them that any future operations of this nature should be preceded by an official notification to TPS.</t>
  </si>
  <si>
    <t>May</t>
  </si>
  <si>
    <t>Other LOPC not counted as Tier 1 or Tier 2 PSE’s. Release of produced water from a punctured spool of the charging pump upstream the SWDW at Tank Battery. This is considered as PSE Tier 3</t>
  </si>
  <si>
    <t>MOHAMED BEN HAMMOUDA</t>
  </si>
  <si>
    <t xml:space="preserve">During the water loading operation using cistern no. 116201, a sudden puncture occurred in the tanker, resulting in a production water leak (02 L). The pumper promptly notified the crew chief of the incident.
The service provider, ALWAHEB, was contacted to supply a replacement truck equipped with a pump for emergency use. However, they were unable to provide one as per usual protocol.
Consequently, the production team contacted TEPS Company, which responded by dispatching a tanker truck. A total of 70 barrels of production water were successfully discharged using the TEPS Vacuum truck </t>
  </si>
  <si>
    <t>Corrosion in the truck tanker (repeated incident).</t>
  </si>
  <si>
    <t>LACK OF INSPECTION FROM SERVICE PROVIDER (ALWAHEB COMPANY)</t>
  </si>
  <si>
    <t>Discharge 70 barrels of water from the truck tanker by TEPS Company and ensure they are free from processed water.
Recommendations:
-After the incident, the service provider must reinspect the tanker before returning it to service.
-Ensure proper coating and sealing of the tanker interiors to resist chemical and water-induced corrosion .                                                                                                                                                                                                       -Conduct regular inspections of truck tankers to identify and address corrosion or damage early (including thickness measurements).
-Revise agreements with service providers to ensure they have a backup fleet and equipment available for emergencies.
-Develop and enforce a standard list of required items for stop kits to ensure uniformity across all trucks in the fleet.
-Develop and communicate clear procedures for addressing leaks using stop kits to minimize response time and reduce environmental risks.</t>
  </si>
  <si>
    <t>June</t>
  </si>
  <si>
    <t>PSE Tier 3 – LOPC: Release of produced water from a punctured spool of the water injection pump upstream the SWDW at Tank Battery. A clamp has been inserted as a temporary solution.</t>
  </si>
  <si>
    <t>DELTA</t>
  </si>
  <si>
    <t>leak was observed in the main cooling system of the WAUKESHA gas generator (Old Unit) on the Delta platform. The operator identified the issue before the Low Safety Level (LSL) Water alarm was triggered. The leak occurred at a rubber sleeve component, which serves as a flexible protective joint within the cooling network. Replacement of the damaged rubber sleeve was done.</t>
  </si>
  <si>
    <t>Abdekader KARRA</t>
  </si>
  <si>
    <t>Leak from tanker</t>
  </si>
  <si>
    <t>Environmental</t>
  </si>
  <si>
    <t>When water start loading by truck using cistern n° 116201 at 08:30 the pumper detects a leak from tanker. Immediately inform the crew chief and proceed to discharge 70 bbls water process.</t>
  </si>
  <si>
    <t>Corrosion in the truck tanker</t>
  </si>
  <si>
    <t>Lack of inspection from service provider (Alwaheb company)</t>
  </si>
  <si>
    <t>Discharge 70 bbls water from truck tanker and ensure that are free from water process</t>
  </si>
  <si>
    <t>GUEBIBA CLUSTER</t>
  </si>
  <si>
    <t>GUEBIBA#9</t>
  </si>
  <si>
    <t>Asset Damage Incident: At 03:32 on 01 October, the Control Room HMI displayed an H₂S alarm (20 ppm) from Detector AAH92, located in the Gue#9 well area. As a result, all Guebiba Cluster wells were automatically shut down. The Production Crew immediately notified the Maintenance Team, who intervened, conducted an inspection, and confirmed that the alarm was false, caused by a sensor malfunction.</t>
  </si>
  <si>
    <t xml:space="preserve"> False detection (faulty alarm), not an actual H2S leak.</t>
  </si>
  <si>
    <t xml:space="preserve">
The Production Crew notified the Maintenance Team.
The Maintenance Team intervened and conducted an investigation at Gue#9 well area.
The alarm was identified as a false detection (faulty alarm), not an actual H2S leak.
All wells resumed production.</t>
  </si>
  <si>
    <t>Detection of gas leak on Delta WGG 6cylinders (old one) by OGI camera</t>
  </si>
  <si>
    <t>ABDELHAMID AFFES</t>
  </si>
  <si>
    <t>TD OIL TANK</t>
  </si>
  <si>
    <t>During the methane and VOC detection It turned out that the rupture disc of the TD oil tank was found punctured, The crew chief inform production foreman</t>
  </si>
  <si>
    <t xml:space="preserve">The crew chief inform production foreman and try to minimize the leak,            </t>
  </si>
  <si>
    <t xml:space="preserve">    The rupture disc must be changed ASAP,     </t>
  </si>
  <si>
    <t>Asset Damage</t>
  </si>
  <si>
    <t>Lost Time Injury</t>
  </si>
  <si>
    <t xml:space="preserve"> Road Traffic Incident</t>
  </si>
  <si>
    <t>Total général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</si>
</sst>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6">
    <font>
      <sz val="11"/>
      <color theme="1"/>
      <name val="Aptos Narrow"/>
      <family val="2"/>
      <scheme val="minor"/>
    </font>
    <font>
      <b/>
      <sz val="11"/>
      <color theme="1"/>
      <name val="Aptos Narrow"/>
      <family val="2"/>
      <scheme val="minor"/>
    </font>
    <font>
      <b/>
      <sz val="18"/>
      <color theme="0"/>
      <name val="Aptos Narrow"/>
      <family val="2"/>
      <scheme val="minor"/>
    </font>
    <font>
      <sz val="12"/>
      <color theme="1"/>
      <name val="Aptos Narrow"/>
      <family val="2"/>
      <scheme val="minor"/>
    </font>
    <font>
      <sz val="12"/>
      <color rgb="FFFF0000"/>
      <name val="Aptos Narrow"/>
      <family val="2"/>
      <scheme val="minor"/>
    </font>
    <font>
      <sz val="12"/>
      <color rgb="FF000000"/>
      <name val="Aptos Narrow"/>
      <family val="2"/>
      <scheme val="minor"/>
    </font>
    <font>
      <b/>
      <sz val="9"/>
      <color indexed="81"/>
      <name val="Tahoma"/>
      <family val="2"/>
    </font>
    <font>
      <sz val="9"/>
      <color indexed="81"/>
      <name val="Tahoma"/>
      <family val="2"/>
    </font>
    <font>
      <sz val="11"/>
      <color rgb="FFFF0000"/>
      <name val="Aptos Narrow"/>
      <family val="2"/>
      <scheme val="minor"/>
    </font>
    <font>
      <sz val="11"/>
      <color rgb="FF0070C0"/>
      <name val="Aptos Narrow"/>
      <family val="2"/>
      <scheme val="minor"/>
    </font>
    <font>
      <sz val="12"/>
      <color rgb="FF0070C0"/>
      <name val="Aptos Narrow"/>
      <family val="2"/>
      <scheme val="minor"/>
    </font>
    <font>
      <sz val="11"/>
      <name val="Aptos Narrow"/>
      <family val="2"/>
      <scheme val="minor"/>
    </font>
    <font>
      <b/>
      <i/>
      <sz val="11"/>
      <color rgb="FF000000"/>
      <name val="Calibri"/>
      <family val="2"/>
    </font>
    <font>
      <sz val="11"/>
      <color theme="1"/>
      <name val="Aptos Narrow"/>
      <family val="2"/>
      <scheme val="minor"/>
    </font>
    <font>
      <b/>
      <sz val="11"/>
      <color rgb="FF0070C0"/>
      <name val="Aptos Narrow"/>
      <family val="2"/>
      <scheme val="minor"/>
    </font>
    <font>
      <sz val="11"/>
      <color theme="1"/>
      <name val="Arial"/>
      <family val="2"/>
    </font>
  </fonts>
  <fills count="9">
    <fill>
      <patternFill patternType="none"/>
    </fill>
    <fill>
      <patternFill patternType="gray125"/>
    </fill>
    <fill>
      <patternFill patternType="solid">
        <fgColor rgb="FF002060"/>
        <bgColor indexed="64"/>
      </patternFill>
    </fill>
    <fill>
      <patternFill patternType="solid">
        <fgColor rgb="FFBDDFFB"/>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3" fillId="0" borderId="0" applyFont="0" applyFill="0" applyBorder="0" applyAlignment="0" applyProtection="0"/>
  </cellStyleXfs>
  <cellXfs count="45">
    <xf numFmtId="0" fontId="0" fillId="0" borderId="0" xfId="0"/>
    <xf numFmtId="0" fontId="0" fillId="0" borderId="0" xfId="0" applyAlignment="1">
      <alignment horizontal="center" wrapText="1"/>
    </xf>
    <xf numFmtId="0" fontId="0" fillId="0" borderId="0" xfId="0"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2" xfId="0" applyFont="1" applyBorder="1" applyAlignment="1">
      <alignment vertical="center" wrapText="1"/>
    </xf>
    <xf numFmtId="0" fontId="8" fillId="0" borderId="1" xfId="0" applyFont="1" applyBorder="1" applyAlignment="1">
      <alignment vertical="center" wrapText="1"/>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11" fillId="4" borderId="1" xfId="0" applyFont="1" applyFill="1" applyBorder="1" applyAlignment="1">
      <alignment horizontal="center" vertical="center" wrapText="1"/>
    </xf>
    <xf numFmtId="0" fontId="10" fillId="0" borderId="1" xfId="0" applyFont="1" applyBorder="1" applyAlignment="1">
      <alignment vertical="center" wrapText="1"/>
    </xf>
    <xf numFmtId="0" fontId="0" fillId="5"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4" borderId="1" xfId="0" applyFill="1" applyBorder="1" applyAlignment="1">
      <alignment horizontal="center" vertical="center" wrapText="1"/>
    </xf>
    <xf numFmtId="0" fontId="0" fillId="0" borderId="1" xfId="0" quotePrefix="1" applyBorder="1" applyAlignment="1">
      <alignment vertical="center" wrapText="1"/>
    </xf>
    <xf numFmtId="0" fontId="3" fillId="0" borderId="1" xfId="0" quotePrefix="1" applyFont="1" applyBorder="1" applyAlignment="1">
      <alignment horizontal="left" vertical="center" wrapText="1"/>
    </xf>
    <xf numFmtId="0" fontId="0" fillId="0" borderId="0" xfId="0" pivotButton="1"/>
    <xf numFmtId="0" fontId="12" fillId="0" borderId="0" xfId="0" applyFont="1" applyAlignment="1">
      <alignment horizontal="left" vertical="center"/>
    </xf>
    <xf numFmtId="10" fontId="0" fillId="0" borderId="0" xfId="0" applyNumberFormat="1"/>
    <xf numFmtId="0" fontId="2" fillId="2" borderId="0" xfId="0" applyFont="1" applyFill="1" applyAlignment="1">
      <alignment horizontal="center" vertical="center"/>
    </xf>
    <xf numFmtId="164" fontId="14" fillId="0" borderId="1" xfId="0" applyNumberFormat="1" applyFont="1" applyBorder="1" applyAlignment="1">
      <alignment horizontal="center" vertical="center"/>
    </xf>
    <xf numFmtId="0" fontId="0" fillId="0" borderId="1" xfId="0" applyBorder="1"/>
    <xf numFmtId="0" fontId="0" fillId="0" borderId="0" xfId="0" applyAlignment="1">
      <alignment wrapText="1"/>
    </xf>
    <xf numFmtId="0" fontId="0" fillId="6" borderId="1" xfId="0" applyFill="1" applyBorder="1" applyAlignment="1">
      <alignment horizontal="center" vertical="center"/>
    </xf>
    <xf numFmtId="0" fontId="0" fillId="0" borderId="1" xfId="0" applyBorder="1" applyAlignment="1">
      <alignment wrapText="1"/>
    </xf>
    <xf numFmtId="0" fontId="0" fillId="7" borderId="1" xfId="0" applyFill="1" applyBorder="1"/>
    <xf numFmtId="0" fontId="0" fillId="6" borderId="1" xfId="0" applyFill="1" applyBorder="1" applyAlignment="1">
      <alignment horizontal="center" vertical="center" wrapText="1"/>
    </xf>
    <xf numFmtId="0" fontId="15" fillId="0" borderId="1" xfId="0" applyFont="1" applyBorder="1" applyAlignment="1">
      <alignment horizontal="justify" vertical="center"/>
    </xf>
    <xf numFmtId="9" fontId="0" fillId="0" borderId="0" xfId="1" applyFont="1"/>
    <xf numFmtId="0" fontId="0" fillId="8" borderId="0" xfId="0" applyFill="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88989596781656"/>
          <c:y val="0.11805555555555555"/>
          <c:w val="0.82575574247958794"/>
          <c:h val="0.77314814814814814"/>
        </c:manualLayout>
      </c:layout>
      <c:pie3DChart>
        <c:varyColors val="1"/>
        <c:ser>
          <c:idx val="0"/>
          <c:order val="0"/>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086-4101-BB4A-EC80242719D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086-4101-BB4A-EC80242719D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086-4101-BB4A-EC80242719D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F086-4101-BB4A-EC80242719D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086-4101-BB4A-EC80242719D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F086-4101-BB4A-EC80242719D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086-4101-BB4A-EC80242719D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F086-4101-BB4A-EC80242719D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086-4101-BB4A-EC80242719D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64A4-4777-8B30-52730A17E4C3}"/>
              </c:ext>
            </c:extLst>
          </c:dPt>
          <c:dLbls>
            <c:dLbl>
              <c:idx val="0"/>
              <c:layout>
                <c:manualLayout>
                  <c:x val="-2.3513994300373854E-2"/>
                  <c:y val="9.5480585614258429E-2"/>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8830880479669157"/>
                      <c:h val="0.13666471194601629"/>
                    </c:manualLayout>
                  </c15:layout>
                </c:ext>
                <c:ext xmlns:c16="http://schemas.microsoft.com/office/drawing/2014/chart" uri="{C3380CC4-5D6E-409C-BE32-E72D297353CC}">
                  <c16:uniqueId val="{00000001-F086-4101-BB4A-EC80242719D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F086-4101-BB4A-EC80242719D8}"/>
                </c:ext>
              </c:extLst>
            </c:dLbl>
            <c:dLbl>
              <c:idx val="2"/>
              <c:layout>
                <c:manualLayout>
                  <c:x val="-1.128675577516693E-2"/>
                  <c:y val="-8.6993422448546645E-2"/>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3"/>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8672467013858"/>
                      <c:h val="0.15575748766604683"/>
                    </c:manualLayout>
                  </c15:layout>
                </c:ext>
                <c:ext xmlns:c16="http://schemas.microsoft.com/office/drawing/2014/chart" uri="{C3380CC4-5D6E-409C-BE32-E72D297353CC}">
                  <c16:uniqueId val="{00000005-F086-4101-BB4A-EC80242719D8}"/>
                </c:ext>
              </c:extLst>
            </c:dLbl>
            <c:dLbl>
              <c:idx val="3"/>
              <c:layout>
                <c:manualLayout>
                  <c:x val="2.1632806621519941E-2"/>
                  <c:y val="-0.12306386590282198"/>
                </c:manualLayout>
              </c:layout>
              <c:spPr>
                <a:noFill/>
                <a:ln>
                  <a:noFill/>
                </a:ln>
                <a:effectLst/>
              </c:spPr>
              <c:txPr>
                <a:bodyPr rot="0" spcFirstLastPara="1" vertOverflow="ellipsis" vert="horz" wrap="square" lIns="38100" tIns="19050" rIns="38100" bIns="19050" anchor="ctr" anchorCtr="1">
                  <a:noAutofit/>
                </a:bodyPr>
                <a:lstStyle/>
                <a:p>
                  <a:pPr>
                    <a:defRPr sz="1150" b="1" i="0" u="none" strike="noStrike" kern="1200" spc="0" baseline="0">
                      <a:solidFill>
                        <a:schemeClr val="accent4"/>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7186787176433646"/>
                      <c:h val="0.15026522384892849"/>
                    </c:manualLayout>
                  </c15:layout>
                </c:ext>
                <c:ext xmlns:c16="http://schemas.microsoft.com/office/drawing/2014/chart" uri="{C3380CC4-5D6E-409C-BE32-E72D297353CC}">
                  <c16:uniqueId val="{00000006-F086-4101-BB4A-EC80242719D8}"/>
                </c:ext>
              </c:extLst>
            </c:dLbl>
            <c:dLbl>
              <c:idx val="4"/>
              <c:layout>
                <c:manualLayout>
                  <c:x val="6.1136192626034598E-2"/>
                  <c:y val="-2.121790791427966E-2"/>
                </c:manualLayout>
              </c:layout>
              <c:spPr>
                <a:noFill/>
                <a:ln>
                  <a:noFill/>
                </a:ln>
                <a:effectLst/>
              </c:spPr>
              <c:txPr>
                <a:bodyPr rot="0" spcFirstLastPara="1" vertOverflow="ellipsis" vert="horz" wrap="square" lIns="38100" tIns="19050" rIns="38100" bIns="19050" anchor="ctr" anchorCtr="1">
                  <a:spAutoFit/>
                </a:bodyPr>
                <a:lstStyle/>
                <a:p>
                  <a:pPr>
                    <a:defRPr sz="1150" b="1" i="0" u="none" strike="noStrike" kern="1200" spc="0" baseline="0">
                      <a:solidFill>
                        <a:schemeClr val="accent5"/>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3302302364574628"/>
                      <c:h val="6.4523825037465482E-2"/>
                    </c:manualLayout>
                  </c15:layout>
                </c:ext>
                <c:ext xmlns:c16="http://schemas.microsoft.com/office/drawing/2014/chart" uri="{C3380CC4-5D6E-409C-BE32-E72D297353CC}">
                  <c16:uniqueId val="{00000007-F086-4101-BB4A-EC80242719D8}"/>
                </c:ext>
              </c:extLst>
            </c:dLbl>
            <c:dLbl>
              <c:idx val="5"/>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100" b="1"/>
                      <a:t>Medevac</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F086-4101-BB4A-EC80242719D8}"/>
                </c:ext>
              </c:extLst>
            </c:dLbl>
            <c:dLbl>
              <c:idx val="6"/>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a:t>Lifting Ops </a:t>
                    </a:r>
                    <a:fld id="{B8DCF7D5-8E10-4D4D-9F4E-41D6888CEE08}" type="VALUE">
                      <a:rPr lang="en-US"/>
                      <a:pPr>
                        <a:defRPr>
                          <a:solidFill>
                            <a:schemeClr val="accent1"/>
                          </a:solidFill>
                        </a:defRPr>
                      </a:pPr>
                      <a:t>[VALEUR]</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9-F086-4101-BB4A-EC80242719D8}"/>
                </c:ext>
              </c:extLst>
            </c:dLbl>
            <c:dLbl>
              <c:idx val="7"/>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STF </a:t>
                    </a:r>
                    <a:fld id="{34C376FE-28BC-423F-B35F-D04F1C58E546}"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A-F086-4101-BB4A-EC80242719D8}"/>
                </c:ext>
              </c:extLst>
            </c:dLbl>
            <c:dLbl>
              <c:idx val="8"/>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Tools &amp; Eq </a:t>
                    </a:r>
                    <a:fld id="{7909035E-8FA1-40F1-BDB4-D96AB7000230}"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B-F086-4101-BB4A-EC80242719D8}"/>
                </c:ext>
              </c:extLst>
            </c:dLbl>
            <c:dLbl>
              <c:idx val="9"/>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050" b="1"/>
                      <a:t>Fire </a:t>
                    </a:r>
                    <a:fld id="{9DFD6409-DA28-413B-A586-863ED52A9F16}" type="VALUE">
                      <a:rPr lang="en-US" sz="1050" b="1"/>
                      <a:pPr>
                        <a:defRPr>
                          <a:solidFill>
                            <a:schemeClr val="accent1"/>
                          </a:solidFill>
                        </a:defRPr>
                      </a:pPr>
                      <a:t>[VALEUR]</a:t>
                    </a:fld>
                    <a:endParaRPr lang="en-US" sz="1050" b="1"/>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64A4-4777-8B30-52730A17E4C3}"/>
                </c:ext>
              </c:extLst>
            </c:dLbl>
            <c:spPr>
              <a:noFill/>
              <a:ln>
                <a:noFill/>
              </a:ln>
              <a:effectLst/>
            </c:sp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'Incident Repartition'!$A$1:$A$10</c:f>
              <c:strCache>
                <c:ptCount val="5"/>
                <c:pt idx="0">
                  <c:v>Asset Integrity / Process Safety</c:v>
                </c:pt>
                <c:pt idx="1">
                  <c:v>Security</c:v>
                </c:pt>
                <c:pt idx="2">
                  <c:v>Non Work-Related Incident</c:v>
                </c:pt>
                <c:pt idx="3">
                  <c:v>Work-Related Incident</c:v>
                </c:pt>
                <c:pt idx="4">
                  <c:v>Miscellaneous</c:v>
                </c:pt>
              </c:strCache>
            </c:strRef>
          </c:cat>
          <c:val>
            <c:numRef>
              <c:f>'Incident Repartition'!$B$1:$B$10</c:f>
              <c:numCache>
                <c:formatCode>General</c:formatCode>
                <c:ptCount val="10"/>
                <c:pt idx="0">
                  <c:v>9</c:v>
                </c:pt>
                <c:pt idx="1">
                  <c:v>3</c:v>
                </c:pt>
                <c:pt idx="2">
                  <c:v>2</c:v>
                </c:pt>
                <c:pt idx="3">
                  <c:v>1</c:v>
                </c:pt>
                <c:pt idx="4">
                  <c:v>1</c:v>
                </c:pt>
              </c:numCache>
            </c:numRef>
          </c:val>
          <c:extLst>
            <c:ext xmlns:c16="http://schemas.microsoft.com/office/drawing/2014/chart" uri="{C3380CC4-5D6E-409C-BE32-E72D297353CC}">
              <c16:uniqueId val="{0000000C-F086-4101-BB4A-EC80242719D8}"/>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a:outerShdw blurRad="63500" sx="102000" sy="102000" algn="ctr" rotWithShape="0">
                <a:prstClr val="black">
                  <a:alpha val="20000"/>
                </a:prstClr>
              </a:outerShdw>
            </a:effectLst>
          </c:spPr>
          <c:invertIfNegative val="0"/>
          <c:dPt>
            <c:idx val="1"/>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F5D9-4DC6-A750-5F24D2B9790E}"/>
              </c:ext>
            </c:extLst>
          </c:dPt>
          <c:dPt>
            <c:idx val="2"/>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5D9-4DC6-A750-5F24D2B9790E}"/>
              </c:ext>
            </c:extLst>
          </c:dPt>
          <c:dPt>
            <c:idx val="3"/>
            <c:invertIfNegative val="0"/>
            <c:bubble3D val="0"/>
            <c:spPr>
              <a:solidFill>
                <a:srgbClr val="FFFF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F5D9-4DC6-A750-5F24D2B9790E}"/>
              </c:ext>
            </c:extLst>
          </c:dPt>
          <c:dPt>
            <c:idx val="5"/>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0-F5D9-4DC6-A750-5F24D2B9790E}"/>
              </c:ext>
            </c:extLst>
          </c:dPt>
          <c:dPt>
            <c:idx val="6"/>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5D9-4DC6-A750-5F24D2B9790E}"/>
              </c:ext>
            </c:extLst>
          </c:dPt>
          <c:dPt>
            <c:idx val="8"/>
            <c:invertIfNegative val="0"/>
            <c:bubble3D val="0"/>
            <c:spPr>
              <a:solidFill>
                <a:srgbClr val="FFC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5D9-4DC6-A750-5F24D2B9790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6-F5D9-4DC6-A750-5F24D2B9790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4-F5D9-4DC6-A750-5F24D2B9790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3-F5D9-4DC6-A750-5F24D2B9790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B0F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2-F5D9-4DC6-A750-5F24D2B9790E}"/>
                </c:ext>
              </c:extLst>
            </c:dLbl>
            <c:dLbl>
              <c:idx val="5"/>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F5D9-4DC6-A750-5F24D2B9790E}"/>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5-F5D9-4DC6-A750-5F24D2B9790E}"/>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6="http://schemas.microsoft.com/office/drawing/2014/chart" uri="{C3380CC4-5D6E-409C-BE32-E72D297353CC}">
                  <c16:uniqueId val="{00000007-F5D9-4DC6-A750-5F24D2B9790E}"/>
                </c:ext>
              </c:extLst>
            </c:dLbl>
            <c:dLbl>
              <c:idx val="8"/>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FF0000"/>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F5D9-4DC6-A750-5F24D2B9790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 Safety Chart'!$A$1:$A$9</c:f>
              <c:strCache>
                <c:ptCount val="9"/>
                <c:pt idx="0">
                  <c:v>PSE Tier 1</c:v>
                </c:pt>
                <c:pt idx="1">
                  <c:v>PSE Tier 2</c:v>
                </c:pt>
                <c:pt idx="2">
                  <c:v>PSE Tier 3</c:v>
                </c:pt>
                <c:pt idx="3">
                  <c:v>PSE Tier 4</c:v>
                </c:pt>
                <c:pt idx="5">
                  <c:v>Asset Integrity (Facility)</c:v>
                </c:pt>
                <c:pt idx="6">
                  <c:v>Asset Integrity (Pipeline)</c:v>
                </c:pt>
                <c:pt idx="7">
                  <c:v>Asset Integrity (Structure)</c:v>
                </c:pt>
                <c:pt idx="8">
                  <c:v>Asset Integrity (Well)</c:v>
                </c:pt>
              </c:strCache>
            </c:strRef>
          </c:cat>
          <c:val>
            <c:numRef>
              <c:f>'Process Safety Chart'!$B$1:$B$9</c:f>
              <c:numCache>
                <c:formatCode>General</c:formatCode>
                <c:ptCount val="9"/>
                <c:pt idx="0">
                  <c:v>0</c:v>
                </c:pt>
                <c:pt idx="1">
                  <c:v>3</c:v>
                </c:pt>
                <c:pt idx="2">
                  <c:v>4</c:v>
                </c:pt>
                <c:pt idx="3">
                  <c:v>0.92</c:v>
                </c:pt>
                <c:pt idx="5">
                  <c:v>2</c:v>
                </c:pt>
                <c:pt idx="6">
                  <c:v>5</c:v>
                </c:pt>
                <c:pt idx="7">
                  <c:v>0</c:v>
                </c:pt>
                <c:pt idx="8">
                  <c:v>2</c:v>
                </c:pt>
              </c:numCache>
            </c:numRef>
          </c:val>
          <c:extLst>
            <c:ext xmlns:c16="http://schemas.microsoft.com/office/drawing/2014/chart" uri="{C3380CC4-5D6E-409C-BE32-E72D297353CC}">
              <c16:uniqueId val="{00000000-5B35-4EA4-BE9B-F118C42F0A24}"/>
            </c:ext>
          </c:extLst>
        </c:ser>
        <c:dLbls>
          <c:showLegendKey val="0"/>
          <c:showVal val="0"/>
          <c:showCatName val="1"/>
          <c:showSerName val="0"/>
          <c:showPercent val="0"/>
          <c:showBubbleSize val="0"/>
        </c:dLbls>
        <c:gapWidth val="150"/>
        <c:axId val="1615897647"/>
        <c:axId val="1615898127"/>
      </c:barChart>
      <c:catAx>
        <c:axId val="1615897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898127"/>
        <c:crosses val="autoZero"/>
        <c:auto val="1"/>
        <c:lblAlgn val="ctr"/>
        <c:lblOffset val="100"/>
        <c:noMultiLvlLbl val="0"/>
      </c:catAx>
      <c:valAx>
        <c:axId val="1615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89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Process</a:t>
            </a:r>
            <a:r>
              <a:rPr lang="en-US" baseline="0"/>
              <a:t> safety chart</a:t>
            </a:r>
            <a:endParaRPr lang="en-US"/>
          </a:p>
        </c:rich>
      </c:tx>
      <c:layout/>
      <c:overlay val="0"/>
      <c:spPr>
        <a:solidFill>
          <a:sysClr val="window" lastClr="FFFFFF"/>
        </a:solid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67315343510178"/>
          <c:y val="0.18555909301950974"/>
          <c:w val="0.80882568149635925"/>
          <c:h val="0.75624490904154218"/>
        </c:manualLayout>
      </c:layout>
      <c:pie3DChart>
        <c:varyColors val="1"/>
        <c:ser>
          <c:idx val="0"/>
          <c:order val="0"/>
          <c:explosion val="1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C77-44B3-A90A-A30ECF51030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C77-44B3-A90A-A30ECF51030C}"/>
              </c:ext>
            </c:extLst>
          </c:dPt>
          <c:dPt>
            <c:idx val="2"/>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C77-44B3-A90A-A30ECF51030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C77-44B3-A90A-A30ECF51030C}"/>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C77-44B3-A90A-A30ECF51030C}"/>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C77-44B3-A90A-A30ECF51030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0C77-44B3-A90A-A30ECF51030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0C77-44B3-A90A-A30ECF51030C}"/>
                </c:ext>
              </c:extLst>
            </c:dLbl>
            <c:dLbl>
              <c:idx val="2"/>
              <c:layout>
                <c:manualLayout>
                  <c:x val="0.12791572610985705"/>
                  <c:y val="-0.1386071670047329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0C77-44B3-A90A-A30ECF51030C}"/>
                </c:ext>
              </c:extLst>
            </c:dLbl>
            <c:dLbl>
              <c:idx val="3"/>
              <c:layout>
                <c:manualLayout>
                  <c:x val="-9.3808630393996256E-3"/>
                  <c:y val="3.039975680194530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0C77-44B3-A90A-A30ECF51030C}"/>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0C77-44B3-A90A-A30ECF51030C}"/>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0C77-44B3-A90A-A30ECF51030C}"/>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'[1]Process Safety Chart'!$A$3:$A$8</c:f>
              <c:strCache>
                <c:ptCount val="6"/>
                <c:pt idx="0">
                  <c:v>PSE Tier 1</c:v>
                </c:pt>
                <c:pt idx="1">
                  <c:v>PSE Tier 2</c:v>
                </c:pt>
                <c:pt idx="2">
                  <c:v>PSE Tier 3</c:v>
                </c:pt>
                <c:pt idx="3">
                  <c:v>PSE Tier 4</c:v>
                </c:pt>
                <c:pt idx="4">
                  <c:v>Asset Integrity (Facility)</c:v>
                </c:pt>
                <c:pt idx="5">
                  <c:v>Asset Integrity (Pipeline)</c:v>
                </c:pt>
              </c:strCache>
            </c:strRef>
          </c:cat>
          <c:val>
            <c:numRef>
              <c:f>'[1]Process Safety Chart'!$B$3:$B$8</c:f>
              <c:numCache>
                <c:formatCode>General</c:formatCode>
                <c:ptCount val="6"/>
                <c:pt idx="0">
                  <c:v>2</c:v>
                </c:pt>
                <c:pt idx="1">
                  <c:v>2</c:v>
                </c:pt>
                <c:pt idx="2">
                  <c:v>10</c:v>
                </c:pt>
                <c:pt idx="3">
                  <c:v>0.99</c:v>
                </c:pt>
                <c:pt idx="4">
                  <c:v>0</c:v>
                </c:pt>
                <c:pt idx="5">
                  <c:v>0</c:v>
                </c:pt>
              </c:numCache>
            </c:numRef>
          </c:val>
          <c:extLst>
            <c:ext xmlns:c16="http://schemas.microsoft.com/office/drawing/2014/chart" uri="{C3380CC4-5D6E-409C-BE32-E72D297353CC}">
              <c16:uniqueId val="{0000000C-0C77-44B3-A90A-A30ECF51030C}"/>
            </c:ext>
          </c:extLst>
        </c:ser>
        <c:dLbls>
          <c:dLblPos val="outEnd"/>
          <c:showLegendKey val="0"/>
          <c:showVal val="0"/>
          <c:showCatName val="1"/>
          <c:showSerName val="0"/>
          <c:showPercent val="0"/>
          <c:showBubbleSize val="0"/>
          <c:showLeaderLines val="1"/>
        </c:dLbls>
      </c:pie3DChart>
      <c:spPr>
        <a:noFill/>
        <a:ln>
          <a:noFill/>
        </a:ln>
        <a:effectLst/>
      </c:spPr>
    </c:plotArea>
    <c:legend>
      <c:legendPos val="b"/>
      <c:layout>
        <c:manualLayout>
          <c:xMode val="edge"/>
          <c:yMode val="edge"/>
          <c:x val="0.12267378823696699"/>
          <c:y val="0.9125249556787145"/>
          <c:w val="0.78085876157657885"/>
          <c:h val="5.0767503340060839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[Incident Repartition Form January 2024 to 2026.xlsx]data analysis!PivotTable1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Percentage distribution of 'Sub category'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'data analysis'!$D$4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'data analysis'!$C$5:$C$11</c:f>
              <c:strCache>
                <c:ptCount val="6"/>
                <c:pt idx="0">
                  <c:v>Asset damage</c:v>
                </c:pt>
                <c:pt idx="1">
                  <c:v>Process Safety</c:v>
                </c:pt>
                <c:pt idx="2">
                  <c:v>Security</c:v>
                </c:pt>
                <c:pt idx="3">
                  <c:v>Injury/Illness</c:v>
                </c:pt>
                <c:pt idx="4">
                  <c:v>Near Miss</c:v>
                </c:pt>
                <c:pt idx="5">
                  <c:v>MEDEVAC</c:v>
                </c:pt>
              </c:strCache>
            </c:strRef>
          </c:cat>
          <c:val>
            <c:numRef>
              <c:f>'data analysis'!$D$5:$D$11</c:f>
              <c:numCache>
                <c:formatCode>0.00%</c:formatCode>
                <c:ptCount val="6"/>
                <c:pt idx="0">
                  <c:v>0.375</c:v>
                </c:pt>
                <c:pt idx="1">
                  <c:v>0.1875</c:v>
                </c:pt>
                <c:pt idx="2">
                  <c:v>0.1875</c:v>
                </c:pt>
                <c:pt idx="3">
                  <c:v>0.125</c:v>
                </c:pt>
                <c:pt idx="4">
                  <c:v>6.25E-2</c:v>
                </c:pt>
                <c:pt idx="5">
                  <c:v>6.25E-2</c:v>
                </c:pt>
              </c:numCache>
            </c:numRef>
          </c:val>
          <c:extLst>
            <c:ext xmlns:c16="http://schemas.microsoft.com/office/drawing/2014/chart" uri="{C3380CC4-5D6E-409C-BE32-E72D297353CC}">
              <c16:uniqueId val="{00000000-4C21-41D7-937D-001C5C44F22D}"/>
            </c:ext>
          </c:extLst>
        </c:ser>
        <c:dLbls>
          <c:dLblPos val="inEnd"/>
          <c:showLegendKey val="0"/>
          <c:showVal val="1"/>
          <c:showCatName val="0"/>
          <c:showSerName val="0"/>
          <c:showPercent val="0"/>
          <c:showBubbleSize val="0"/>
        </c:dLbls>
        <c:gapWidth val="65"/>
        <c:axId val="1138716080"/>
        <c:axId val="1138721840"/>
      </c:barChart>
      <c:catAx>
        <c:axId val="1138716080"/>
        <c:scaling>
          <c:orientation val="maxMin"/>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Sub category</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8721840"/>
        <c:crosses val="autoZero"/>
        <c:auto val="1"/>
        <c:lblAlgn val="ctr"/>
        <c:lblOffset val="100"/>
        <c:noMultiLvlLbl val="0"/>
      </c:catAx>
      <c:valAx>
        <c:axId val="11387218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Sub category</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871608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r>
              <a:rPr lang="en-US"/>
              <a:t>Incidents breakdown</a:t>
            </a:r>
          </a:p>
        </c:rich>
      </c:tx>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dk1"/>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188990815092008"/>
          <c:y val="0.19864882702041359"/>
          <c:w val="0.82575574247958794"/>
          <c:h val="0.77314814814814814"/>
        </c:manualLayout>
      </c:layout>
      <c:pie3DChart>
        <c:varyColors val="1"/>
        <c:ser>
          <c:idx val="0"/>
          <c:order val="0"/>
          <c:explosion val="5"/>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B578-4B2C-A49A-73E293A2218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578-4B2C-A49A-73E293A2218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B578-4B2C-A49A-73E293A2218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B578-4B2C-A49A-73E293A2218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B578-4B2C-A49A-73E293A2218A}"/>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B578-4B2C-A49A-73E293A2218A}"/>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B578-4B2C-A49A-73E293A2218A}"/>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B578-4B2C-A49A-73E293A2218A}"/>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B578-4B2C-A49A-73E293A2218A}"/>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B578-4B2C-A49A-73E293A2218A}"/>
              </c:ext>
            </c:extLst>
          </c:dPt>
          <c:dLbls>
            <c:dLbl>
              <c:idx val="0"/>
              <c:layout>
                <c:manualLayout>
                  <c:x val="-3.3003300330033139E-2"/>
                  <c:y val="-0.3191489361702128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B578-4B2C-A49A-73E293A2218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B578-4B2C-A49A-73E293A2218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B578-4B2C-A49A-73E293A2218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B578-4B2C-A49A-73E293A2218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B578-4B2C-A49A-73E293A2218A}"/>
                </c:ext>
              </c:extLst>
            </c:dLbl>
            <c:dLbl>
              <c:idx val="5"/>
              <c:layout>
                <c:manualLayout>
                  <c:x val="0.15034836817015035"/>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B578-4B2C-A49A-73E293A2218A}"/>
                </c:ext>
              </c:extLst>
            </c:dLbl>
            <c:dLbl>
              <c:idx val="6"/>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Lifting Ops </a:t>
                    </a:r>
                    <a:fld id="{B8DCF7D5-8E10-4D4D-9F4E-41D6888CEE08}"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D-B578-4B2C-A49A-73E293A2218A}"/>
                </c:ext>
              </c:extLst>
            </c:dLbl>
            <c:dLbl>
              <c:idx val="7"/>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STF </a:t>
                    </a:r>
                    <a:fld id="{34C376FE-28BC-423F-B35F-D04F1C58E54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F-B578-4B2C-A49A-73E293A2218A}"/>
                </c:ext>
              </c:extLst>
            </c:dLbl>
            <c:dLbl>
              <c:idx val="8"/>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Tools &amp; Eq </a:t>
                    </a:r>
                    <a:fld id="{7909035E-8FA1-40F1-BDB4-D96AB7000230}"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1-B578-4B2C-A49A-73E293A2218A}"/>
                </c:ext>
              </c:extLst>
            </c:dLbl>
            <c:dLbl>
              <c:idx val="9"/>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Fire </a:t>
                    </a:r>
                    <a:fld id="{9DFD6409-DA28-413B-A586-863ED52A9F1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3-B578-4B2C-A49A-73E293A2218A}"/>
                </c:ext>
              </c:extLst>
            </c:dLbl>
            <c:spPr>
              <a:noFill/>
              <a:ln>
                <a:noFill/>
              </a:ln>
              <a:effectLst/>
            </c:sp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'[1]Incidents Breakdown'!$A$1:$A$10</c:f>
              <c:strCache>
                <c:ptCount val="10"/>
                <c:pt idx="0">
                  <c:v>Process Safety</c:v>
                </c:pt>
                <c:pt idx="1">
                  <c:v>Asset Damage</c:v>
                </c:pt>
                <c:pt idx="2">
                  <c:v>Security</c:v>
                </c:pt>
                <c:pt idx="3">
                  <c:v>Medical Treatment Case</c:v>
                </c:pt>
                <c:pt idx="4">
                  <c:v>Lost Time Injury</c:v>
                </c:pt>
                <c:pt idx="5">
                  <c:v> Road Traffic Incident</c:v>
                </c:pt>
              </c:strCache>
            </c:strRef>
          </c:cat>
          <c:val>
            <c:numRef>
              <c:f>'[1]Incidents Breakdown'!$B$1:$B$10</c:f>
              <c:numCache>
                <c:formatCode>General</c:formatCode>
                <c:ptCount val="10"/>
                <c:pt idx="0">
                  <c:v>0.53846153846153844</c:v>
                </c:pt>
                <c:pt idx="1">
                  <c:v>7.6923076923076927E-2</c:v>
                </c:pt>
                <c:pt idx="2">
                  <c:v>0.19230769230769232</c:v>
                </c:pt>
                <c:pt idx="3">
                  <c:v>0.15384615384615385</c:v>
                </c:pt>
                <c:pt idx="4">
                  <c:v>3.8461538461538464E-2</c:v>
                </c:pt>
                <c:pt idx="5">
                  <c:v>3.8461538461538464E-2</c:v>
                </c:pt>
              </c:numCache>
            </c:numRef>
          </c:val>
          <c:extLst>
            <c:ext xmlns:c16="http://schemas.microsoft.com/office/drawing/2014/chart" uri="{C3380CC4-5D6E-409C-BE32-E72D297353CC}">
              <c16:uniqueId val="{00000014-B578-4B2C-A49A-73E293A2218A}"/>
            </c:ext>
          </c:extLst>
        </c:ser>
        <c:ser>
          <c:idx val="1"/>
          <c:order val="1"/>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B578-4B2C-A49A-73E293A2218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B578-4B2C-A49A-73E293A2218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B578-4B2C-A49A-73E293A2218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B578-4B2C-A49A-73E293A2218A}"/>
              </c:ext>
            </c:extLst>
          </c:dPt>
          <c:dPt>
            <c:idx val="4"/>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B578-4B2C-A49A-73E293A2218A}"/>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B578-4B2C-A49A-73E293A2218A}"/>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B578-4B2C-A49A-73E293A2218A}"/>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B578-4B2C-A49A-73E293A2218A}"/>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B578-4B2C-A49A-73E293A2218A}"/>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B578-4B2C-A49A-73E293A2218A}"/>
              </c:ext>
            </c:extLst>
          </c:dPt>
          <c:dLbls>
            <c:dLbl>
              <c:idx val="0"/>
              <c:layout>
                <c:manualLayout>
                  <c:x val="-4.2104877268445279E-2"/>
                  <c:y val="-0.37559674677737259"/>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BA682475-50EC-444D-B2CF-4E46CB80D8E7}" type="CATEGORYNAME">
                      <a:rPr lang="en-US"/>
                      <a:pPr>
                        <a:defRPr/>
                      </a:pPr>
                      <a:t>[NOM DE CATÉGORIE]</a:t>
                    </a:fld>
                    <a:r>
                      <a:rPr lang="en-US"/>
                      <a:t>: </a:t>
                    </a:r>
                    <a:fld id="{2B8C65D3-DDEE-4EE5-95D0-25295576C6D6}"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830880479669157"/>
                      <c:h val="0.13666471194601629"/>
                    </c:manualLayout>
                  </c15:layout>
                  <c15:dlblFieldTable/>
                  <c15:showDataLabelsRange val="0"/>
                </c:ext>
                <c:ext xmlns:c16="http://schemas.microsoft.com/office/drawing/2014/chart" uri="{C3380CC4-5D6E-409C-BE32-E72D297353CC}">
                  <c16:uniqueId val="{00000016-B578-4B2C-A49A-73E293A2218A}"/>
                </c:ext>
              </c:extLst>
            </c:dLbl>
            <c:dLbl>
              <c:idx val="1"/>
              <c:layout>
                <c:manualLayout>
                  <c:x val="-2.2072509088179194E-2"/>
                  <c:y val="-2.0360752778243264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E7132072-DED0-4B44-BA5F-C0180261B988}" type="CATEGORYNAME">
                      <a:rPr lang="en-US"/>
                      <a:pPr>
                        <a:defRPr/>
                      </a:pPr>
                      <a:t>[NOM DE CATÉGORIE]</a:t>
                    </a:fld>
                    <a:r>
                      <a:rPr lang="en-US"/>
                      <a:t>: 0</a:t>
                    </a:r>
                    <a:fld id="{3B7F6617-2C50-4A91-A241-AEC28C546081}"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8-B578-4B2C-A49A-73E293A2218A}"/>
                </c:ext>
              </c:extLst>
            </c:dLbl>
            <c:dLbl>
              <c:idx val="2"/>
              <c:layout>
                <c:manualLayout>
                  <c:x val="6.3345835895925549E-3"/>
                  <c:y val="8.3979347842641529E-3"/>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45138EBD-751D-404E-B495-4B02DB1C7BB7}" type="CATEGORYNAME">
                      <a:rPr lang="en-US"/>
                      <a:pPr>
                        <a:defRPr/>
                      </a:pPr>
                      <a:t>[NOM DE CATÉGORIE]</a:t>
                    </a:fld>
                    <a:r>
                      <a:rPr lang="en-US"/>
                      <a:t>: 0</a:t>
                    </a:r>
                    <a:fld id="{607996AB-B580-47F6-A294-67D08E764DE9}"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1A-B578-4B2C-A49A-73E293A2218A}"/>
                </c:ext>
              </c:extLst>
            </c:dLbl>
            <c:dLbl>
              <c:idx val="3"/>
              <c:layout>
                <c:manualLayout>
                  <c:x val="1.3846443699488068E-2"/>
                  <c:y val="4.2483132548470123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1BE2BACF-415F-4242-A5D6-F3E7A6DEDF3E}" type="CATEGORYNAME">
                      <a:rPr lang="en-US"/>
                      <a:pPr>
                        <a:defRPr/>
                      </a:pPr>
                      <a:t>[NOM DE CATÉGORIE]</a:t>
                    </a:fld>
                    <a:r>
                      <a:rPr lang="en-US"/>
                      <a:t>:0</a:t>
                    </a:r>
                    <a:fld id="{A73992DC-707A-4984-BFE0-C551415BD033}"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layout>
                    <c:manualLayout>
                      <c:w val="0.21717629768226163"/>
                      <c:h val="0.1557575249902273"/>
                    </c:manualLayout>
                  </c15:layout>
                  <c15:dlblFieldTable/>
                  <c15:showDataLabelsRange val="0"/>
                </c:ext>
                <c:ext xmlns:c16="http://schemas.microsoft.com/office/drawing/2014/chart" uri="{C3380CC4-5D6E-409C-BE32-E72D297353CC}">
                  <c16:uniqueId val="{0000001C-B578-4B2C-A49A-73E293A2218A}"/>
                </c:ext>
              </c:extLst>
            </c:dLbl>
            <c:dLbl>
              <c:idx val="4"/>
              <c:layout>
                <c:manualLayout>
                  <c:x val="2.3882421050504001E-2"/>
                  <c:y val="1.2106362671784015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fld id="{23ED1047-4EE4-4BE3-B05B-8416BBCCCA3E}" type="CATEGORYNAME">
                      <a:rPr lang="en-US"/>
                      <a:pPr>
                        <a:defRPr/>
                      </a:pPr>
                      <a:t>[NOM DE CATÉGORIE]</a:t>
                    </a:fld>
                    <a:r>
                      <a:rPr lang="en-US"/>
                      <a:t>: 0</a:t>
                    </a:r>
                    <a:fld id="{B8350EAB-F4B6-4219-A614-B1E1C09B2CF0}" type="VALUE">
                      <a:rPr lang="en-US"/>
                      <a:pPr>
                        <a:defRPr/>
                      </a:pPr>
                      <a:t>[VALEUR]</a:t>
                    </a:fld>
                    <a:endParaRPr lang="en-US"/>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990757343450876"/>
                      <c:h val="8.5891500022845291E-2"/>
                    </c:manualLayout>
                  </c15:layout>
                  <c15:dlblFieldTable/>
                  <c15:showDataLabelsRange val="0"/>
                </c:ext>
                <c:ext xmlns:c16="http://schemas.microsoft.com/office/drawing/2014/chart" uri="{C3380CC4-5D6E-409C-BE32-E72D297353CC}">
                  <c16:uniqueId val="{0000001E-B578-4B2C-A49A-73E293A2218A}"/>
                </c:ext>
              </c:extLst>
            </c:dLbl>
            <c:dLbl>
              <c:idx val="5"/>
              <c:layout>
                <c:manualLayout>
                  <c:x val="6.5421968706056891E-2"/>
                  <c:y val="3.5841494184600232E-2"/>
                </c:manualLayout>
              </c:layout>
              <c:tx>
                <c:rich>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r>
                      <a:rPr lang="en-US"/>
                      <a:t>Road Traffic</a:t>
                    </a:r>
                  </a:p>
                  <a:p>
                    <a:pPr>
                      <a:defRPr/>
                    </a:pPr>
                    <a:r>
                      <a:rPr lang="en-US"/>
                      <a:t> Incident: 01</a:t>
                    </a:r>
                  </a:p>
                </c:rich>
              </c:tx>
              <c:spPr>
                <a:noFill/>
                <a:ln>
                  <a:noFill/>
                </a:ln>
                <a:effectLst/>
              </c:spPr>
              <c:txPr>
                <a:bodyPr rot="0" spcFirstLastPara="1" vertOverflow="ellipsis" vert="horz" wrap="square" anchor="ctr" anchorCtr="1"/>
                <a:lstStyle/>
                <a:p>
                  <a:pPr>
                    <a:defRPr sz="1000" b="1" i="0" u="none" strike="noStrike" kern="1200" spc="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01748695070001"/>
                      <c:h val="0.15995728204851656"/>
                    </c:manualLayout>
                  </c15:layout>
                </c:ext>
                <c:ext xmlns:c16="http://schemas.microsoft.com/office/drawing/2014/chart" uri="{C3380CC4-5D6E-409C-BE32-E72D297353CC}">
                  <c16:uniqueId val="{00000020-B578-4B2C-A49A-73E293A2218A}"/>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2-B578-4B2C-A49A-73E293A2218A}"/>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4-B578-4B2C-A49A-73E293A2218A}"/>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6-B578-4B2C-A49A-73E293A2218A}"/>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dk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28-B578-4B2C-A49A-73E293A2218A}"/>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'[1]Incidents Breakdown'!$A$1:$A$10</c:f>
              <c:strCache>
                <c:ptCount val="10"/>
                <c:pt idx="0">
                  <c:v>Process Safety</c:v>
                </c:pt>
                <c:pt idx="1">
                  <c:v>Asset Damage</c:v>
                </c:pt>
                <c:pt idx="2">
                  <c:v>Security</c:v>
                </c:pt>
                <c:pt idx="3">
                  <c:v>Medical Treatment Case</c:v>
                </c:pt>
                <c:pt idx="4">
                  <c:v>Lost Time Injury</c:v>
                </c:pt>
                <c:pt idx="5">
                  <c:v> Road Traffic Incident</c:v>
                </c:pt>
              </c:strCache>
            </c:strRef>
          </c:cat>
          <c:val>
            <c:numRef>
              <c:f>'[1]Incidents Breakdown'!$C$1:$C$10</c:f>
              <c:numCache>
                <c:formatCode>General</c:formatCode>
                <c:ptCount val="10"/>
                <c:pt idx="0">
                  <c:v>14</c:v>
                </c:pt>
                <c:pt idx="1">
                  <c:v>2</c:v>
                </c:pt>
                <c:pt idx="2">
                  <c:v>5</c:v>
                </c:pt>
                <c:pt idx="3">
                  <c:v>4</c:v>
                </c:pt>
                <c:pt idx="4">
                  <c:v>1</c:v>
                </c:pt>
                <c:pt idx="5">
                  <c:v>1</c:v>
                </c:pt>
              </c:numCache>
            </c:numRef>
          </c:val>
          <c:extLst>
            <c:ext xmlns:c16="http://schemas.microsoft.com/office/drawing/2014/chart" uri="{C3380CC4-5D6E-409C-BE32-E72D297353CC}">
              <c16:uniqueId val="{00000029-B578-4B2C-A49A-73E293A2218A}"/>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152400</xdr:colOff>
      <xdr:row>3</xdr:row>
      <xdr:rowOff>161924</xdr:rowOff>
    </xdr:from>
    <xdr:to>
      <xdr:col>13</xdr:col>
      <xdr:colOff>198120</xdr:colOff>
      <xdr:row>20</xdr:row>
      <xdr:rowOff>45719</xdr:rowOff>
    </xdr:to>
    <xdr:graphicFrame macro="">
      <xdr:nvGraphicFramePr>
        <xdr:cNvPr id="2" name="Chart 1">
          <a:extLst>
            <a:ext uri="{FF2B5EF4-FFF2-40B4-BE49-F238E27FC236}">
              <a16:creationId xmlns:a16="http://schemas.microsoft.com/office/drawing/2014/main" id="{94860F58-1C08-42AE-BB56-55A36E27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11</xdr:row>
      <xdr:rowOff>95249</xdr:rowOff>
    </xdr:from>
    <xdr:to>
      <xdr:col>14</xdr:col>
      <xdr:colOff>198120</xdr:colOff>
      <xdr:row>27</xdr:row>
      <xdr:rowOff>160019</xdr:rowOff>
    </xdr:to>
    <xdr:graphicFrame macro="">
      <xdr:nvGraphicFramePr>
        <xdr:cNvPr id="2" name="Chart 1">
          <a:extLst>
            <a:ext uri="{FF2B5EF4-FFF2-40B4-BE49-F238E27FC236}">
              <a16:creationId xmlns:a16="http://schemas.microsoft.com/office/drawing/2014/main" id="{22907AF1-452B-4CEF-8E22-749D40300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100965</xdr:colOff>
      <xdr:row>36</xdr:row>
      <xdr:rowOff>45720</xdr:rowOff>
    </xdr:from>
    <xdr:to>
      <xdr:col>13</xdr:col>
      <xdr:colOff>680085</xdr:colOff>
      <xdr:row>59</xdr:row>
      <xdr:rowOff>60960</xdr:rowOff>
    </xdr:to>
    <xdr:graphicFrame macro="">
      <xdr:nvGraphicFramePr>
        <xdr:cNvPr id="3" name="Chart 3">
          <a:extLst>
            <a:ext uri="{FF2B5EF4-FFF2-40B4-BE49-F238E27FC236}">
              <a16:creationId xmlns:a16="http://schemas.microsoft.com/office/drawing/2014/main" id="{B9420B33-0B8B-4425-A406-B79AB9FDF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341811</xdr:colOff>
      <xdr:row>4</xdr:row>
      <xdr:rowOff>93617</xdr:rowOff>
    </xdr:to>
    <xdr:pic>
      <xdr:nvPicPr>
        <xdr:cNvPr id="3" name="Picture 2" descr="A picture containing symbol, logo, font, graphics&#10;&#10;Description automatically generated">
          <a:extLst>
            <a:ext uri="{FF2B5EF4-FFF2-40B4-BE49-F238E27FC236}">
              <a16:creationId xmlns:a16="http://schemas.microsoft.com/office/drawing/2014/main" id="{4C135793-EB1F-4C3A-87CE-D36CD8968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51411" cy="939437"/>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3</xdr:row>
      <xdr:rowOff>0</xdr:rowOff>
    </xdr:from>
    <xdr:to>
      <xdr:col>12</xdr:col>
      <xdr:colOff>304800</xdr:colOff>
      <xdr:row>18</xdr:row>
      <xdr:rowOff>0</xdr:rowOff>
    </xdr:to>
    <xdr:graphicFrame macro="">
      <xdr:nvGraphicFramePr>
        <xdr:cNvPr id="2" name="Chart 1" descr="Chart type: Clustered Bar. Percentage distribution of 'Sub category'&#10;&#10;Description automatically generated">
          <a:extLst>
            <a:ext uri="{FF2B5EF4-FFF2-40B4-BE49-F238E27FC236}">
              <a16:creationId xmlns:a16="http://schemas.microsoft.com/office/drawing/2014/main" id="{B61573C9-1D1F-C242-93D0-6D351E4EF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45720</xdr:colOff>
      <xdr:row>1</xdr:row>
      <xdr:rowOff>15240</xdr:rowOff>
    </xdr:from>
    <xdr:to>
      <xdr:col>12</xdr:col>
      <xdr:colOff>704850</xdr:colOff>
      <xdr:row>21</xdr:row>
      <xdr:rowOff>47625</xdr:rowOff>
    </xdr:to>
    <xdr:graphicFrame macro="">
      <xdr:nvGraphicFramePr>
        <xdr:cNvPr id="2" name="Chart 1">
          <a:extLst>
            <a:ext uri="{FF2B5EF4-FFF2-40B4-BE49-F238E27FC236}">
              <a16:creationId xmlns:a16="http://schemas.microsoft.com/office/drawing/2014/main" id="{94860F58-1C08-42AE-BB56-55A36E272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CM-01-Incidents%20Tracking%20list%20from%20January%202025%20until%20February%202026%20(Rev%2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s Breakdown"/>
      <sheetName val="Process Safety Chart"/>
      <sheetName val="Incident Lists"/>
    </sheetNames>
    <sheetDataSet>
      <sheetData sheetId="0">
        <row r="1">
          <cell r="A1" t="str">
            <v>Process Safety</v>
          </cell>
          <cell r="B1">
            <v>0.53846153846153844</v>
          </cell>
          <cell r="C1">
            <v>14</v>
          </cell>
        </row>
        <row r="2">
          <cell r="A2" t="str">
            <v>Asset Damage</v>
          </cell>
          <cell r="B2">
            <v>7.6923076923076927E-2</v>
          </cell>
          <cell r="C2">
            <v>2</v>
          </cell>
        </row>
        <row r="3">
          <cell r="A3" t="str">
            <v>Security</v>
          </cell>
          <cell r="B3">
            <v>0.19230769230769232</v>
          </cell>
          <cell r="C3">
            <v>5</v>
          </cell>
        </row>
        <row r="4">
          <cell r="A4" t="str">
            <v>Medical Treatment Case</v>
          </cell>
          <cell r="B4">
            <v>0.15384615384615385</v>
          </cell>
          <cell r="C4">
            <v>4</v>
          </cell>
        </row>
        <row r="5">
          <cell r="A5" t="str">
            <v>Lost Time Injury</v>
          </cell>
          <cell r="B5">
            <v>3.8461538461538464E-2</v>
          </cell>
          <cell r="C5">
            <v>1</v>
          </cell>
        </row>
        <row r="6">
          <cell r="A6" t="str">
            <v xml:space="preserve"> Road Traffic Incident</v>
          </cell>
          <cell r="B6">
            <v>3.8461538461538464E-2</v>
          </cell>
          <cell r="C6">
            <v>1</v>
          </cell>
        </row>
      </sheetData>
      <sheetData sheetId="1">
        <row r="3">
          <cell r="A3" t="str">
            <v>PSE Tier 1</v>
          </cell>
          <cell r="B3">
            <v>2</v>
          </cell>
        </row>
        <row r="4">
          <cell r="A4" t="str">
            <v>PSE Tier 2</v>
          </cell>
          <cell r="B4">
            <v>2</v>
          </cell>
        </row>
        <row r="5">
          <cell r="A5" t="str">
            <v>PSE Tier 3</v>
          </cell>
          <cell r="B5">
            <v>10</v>
          </cell>
        </row>
        <row r="6">
          <cell r="A6" t="str">
            <v>PSE Tier 4</v>
          </cell>
          <cell r="B6">
            <v>0.99</v>
          </cell>
        </row>
        <row r="7">
          <cell r="A7" t="str">
            <v>Asset Integrity (Facility)</v>
          </cell>
          <cell r="B7">
            <v>0</v>
          </cell>
        </row>
        <row r="8">
          <cell r="A8" t="str">
            <v>Asset Integrity (Pipeline)</v>
          </cell>
          <cell r="B8">
            <v>0</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nen EZZEDINE" refreshedDate="45597.410006712962" createdVersion="8" refreshedVersion="8" minRefreshableVersion="3" recordCount="16">
  <cacheSource type="worksheet">
    <worksheetSource ref="A6:S22" sheet="Incident Lists"/>
  </cacheSource>
  <cacheFields count="19">
    <cacheField name="N°" numFmtId="0">
      <sharedItems containsSemiMixedTypes="0" containsString="0" containsNumber="1" containsInteger="1" minValue="1" maxValue="16"/>
    </cacheField>
    <cacheField name="Reported by" numFmtId="0">
      <sharedItems containsBlank="1" count="14">
        <s v="A.GHATTASSI"/>
        <s v="A.LABYADH"/>
        <s v="R.RAHALI / H.BEN BEY"/>
        <s v="H.JARRAYA"/>
        <s v="I.BEN HAMAD"/>
        <s v="M. BEN HAMMOUDA"/>
        <s v="W.AGREBI "/>
        <s v="R.BEN DJEMAA  "/>
        <s v="UNREPORTED"/>
        <s v="M.DAOUES"/>
        <s v="F.HFAIADH"/>
        <s v="C.TAKTAK"/>
        <s v="H.BEN BEY"/>
        <m/>
      </sharedItems>
    </cacheField>
    <cacheField name="Site" numFmtId="0">
      <sharedItems/>
    </cacheField>
    <cacheField name="Location on site" numFmtId="0">
      <sharedItems/>
    </cacheField>
    <cacheField name="Date/ Time Occurred" numFmtId="164">
      <sharedItems containsNonDate="0" containsDate="1" containsMixedTypes="1" minDate="2024-01-02T00:00:00" maxDate="2024-10-14T00:00:00"/>
    </cacheField>
    <cacheField name="PEAR Class" numFmtId="0">
      <sharedItems/>
    </cacheField>
    <cacheField name="Sub category" numFmtId="0">
      <sharedItems count="6">
        <s v="Injury/Illness"/>
        <s v="Asset damage"/>
        <s v="MEDEVAC"/>
        <s v="Security"/>
        <s v="Process Safety"/>
        <s v="Near Miss"/>
      </sharedItems>
    </cacheField>
    <cacheField name="Brief Decription including injury, damage, loss or spill info" numFmtId="0">
      <sharedItems count="16" longText="1">
        <s v="Due to a disease, the cleaning maid hanged on the electrical cables and fell: trip hazard"/>
        <s v="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_x000a__x000a_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_x000a__x000a_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
        <s v="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
        <s v="Two Electrical cables in bad shape due to false maneuver and excessive move of forklift on the cable guard protectors"/>
        <s v="During the previous period, the water cut of Guebiba cluster wells was increased, which caused the rise of flow line temperatures [Gue#2: 241 °F] ; [Gue#9: 230 °F] ; [Gue#10: 240 °F] ; [Gue#14: 228 °F]    "/>
        <s v="During the phase of POOH of completion and after unset Packer &amp; POOH 8 joints, we noticed a high increase of overpull to 48 Tons (normal weight is 30 Tons). _x000a_With presence of Weatherford completion engineer,  we working the string up &amp; down with 22 Tons  to 59 Tons, sucsseded to release the string and lay down working joint._x000a_Try to pull additional joint but get stucked after 4 m. Made several attempts to free the string without success._x000a_Secure the well and held meeting with completion engineer of Weatherford to agree on way forward."/>
        <s v="At 11:15 the crew chief was informed about the watchman of El Hajeb Site feeling not good ( pain in the rib cage )._x000a_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
        <s v="During a routine survey for the Tank Battery field assets, a slight oily water leak was detetected on the level of flange bottom on the Pig receiver post SDV of the 8 inch Rehmoura TB pipeline entry in the TB field."/>
        <s v="During an operator’s visit to Gue#7, he noticed the absence of the watchman guard at 1:15 p.m. and when we contact him by telephone, he showed up at el-hajeb to purchase bread"/>
        <s v="Oil leak coming out from El-Hajeb 7 wellhead. Action to shut in the well was taken and decision will be made to identify the way forward"/>
        <s v="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
        <s v="After shift handover, the incoming crew was performing a routine tour when oily water droplets were detected from the 3&quot; pipe linking the manifold to the V02 separator, through which CER#2 production was routed. The team immediately switched the production of CER#2 to V01 separator, isolated the leaking spool (length 6 m), and stopped the leak._x000a__x000a_The crew chief informed the control room operator, who notified the concerned persons as per the ERP. A survey was performed by boat to check for any sea pollution, and no spill was detected at sea._x000a__x000a_The site foreman was mobilized immediately to assess the situation with the team and determine if additional measures were required. _x000a_The construction team is preparing a new spool to replace the damaged one. Scaffolding will be installed to facilitate the replacement._x000a__x000a_A visual inspection revealed that the puncture was located between the pipe and the metallic support, indicating that the likely cause  of the failure was external galvanic corrosion."/>
        <s v="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_x000a_The National Guard arrived quickly and took custody of the three individuals. The incident caused no harm to people or property"/>
        <s v="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
        <s v="some excavation works performed by SONED the public water company where TPS pipe passes around 300 m from Ain Site,  and no prior notification been addressed by SONED"/>
        <s v="Security Incident near Cercina sealine: A partially submerged boat was discovered during the routine inspection of the sealine. Authorities were informed by TPS Security Coordinator and they stated that will take the necessary actions. NTR on people, asset, environment or reputation."/>
      </sharedItems>
    </cacheField>
    <cacheField name="Inc Type if injury" numFmtId="0">
      <sharedItems/>
    </cacheField>
    <cacheField name="If Asset integrity incident_x000a_(Facility/Pipeline/Structure/Well)" numFmtId="0">
      <sharedItems containsBlank="1"/>
    </cacheField>
    <cacheField name="Damaged zone" numFmtId="0">
      <sharedItems containsBlank="1" count="7">
        <m/>
        <s v="Cer-3 and Cer sth 1 shut-in for about 1.5 hours"/>
        <s v="Electrical cables"/>
        <s v="Pipeline expansion"/>
        <s v="Well"/>
        <s v="The Ring or flange face could be damaged"/>
        <s v="NONE"/>
      </sharedItems>
    </cacheField>
    <cacheField name="PSE Tiers (1/2/3/4)" numFmtId="0">
      <sharedItems containsBlank="1" count="3">
        <m/>
        <s v="PSE_x000a_(Tier 3)"/>
        <s v="PSE_x000a_(Tier 2)"/>
      </sharedItems>
    </cacheField>
    <cacheField name="Act Sev" numFmtId="0">
      <sharedItems containsString="0" containsBlank="1" containsNumber="1" containsInteger="1" minValue="0" maxValue="3" count="5">
        <n v="1"/>
        <n v="3"/>
        <n v="2"/>
        <m/>
        <n v="0"/>
      </sharedItems>
    </cacheField>
    <cacheField name="Potl Sev" numFmtId="0">
      <sharedItems containsString="0" containsBlank="1" containsNumber="1" containsInteger="1" minValue="1" maxValue="6" count="5">
        <n v="2"/>
        <n v="3"/>
        <n v="1"/>
        <n v="6"/>
        <m/>
      </sharedItems>
    </cacheField>
    <cacheField name="Investigation Done?" numFmtId="0">
      <sharedItems containsBlank="1"/>
    </cacheField>
    <cacheField name="Immediate Causes" numFmtId="0">
      <sharedItems containsBlank="1"/>
    </cacheField>
    <cacheField name="Root Causes" numFmtId="0">
      <sharedItems containsBlank="1" longText="1"/>
    </cacheField>
    <cacheField name="CA's Taken" numFmtId="0">
      <sharedItems containsBlank="1" longText="1"/>
    </cacheField>
    <cacheField name="Suggestions/recommendation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
  <r>
    <n v="1"/>
    <x v="0"/>
    <s v="MAIN OFFICE"/>
    <s v="2nd floor "/>
    <d v="2024-01-02T00:00:00"/>
    <s v="Injury/Illness"/>
    <x v="0"/>
    <x v="0"/>
    <s v="Medical Treatment Case"/>
    <m/>
    <x v="0"/>
    <x v="0"/>
    <x v="0"/>
    <x v="0"/>
    <s v="No"/>
    <s v="She was in a hurry "/>
    <s v="Lack of attention due to rush to end work"/>
    <s v="Basic first aid provided. _x000a_Informed cleanign lady to pay attention and to not rush, as rushing can only cause accidents and result in further delays."/>
    <s v=".Regular health check-ups for staff to ensure they are fit for their duties_x000a_.Regularly inspect the work environment for potential hazards, including loose cables and other trip hazards."/>
  </r>
  <r>
    <n v="2"/>
    <x v="1"/>
    <s v="CERCINA"/>
    <s v="DELTA PLATFORM"/>
    <d v="2024-02-09T00:00:00"/>
    <s v="Injury/Illness"/>
    <x v="0"/>
    <x v="1"/>
    <s v="LTI"/>
    <m/>
    <x v="0"/>
    <x v="0"/>
    <x v="1"/>
    <x v="1"/>
    <s v="yes"/>
    <s v="Accidental run of impact wrench"/>
    <s v="TBD"/>
    <s v="Stop work for safety stand down_x000a_Wrench was immediately removed from site ( No more used)_x000a_"/>
    <s v=".Ensure an adequate supply of BA rings and GA pins for all Impact Wrenches in TPS._x000a_.Provide initiation training / awareness sessions based on the Manufacturer Instructional Manual for Impact Wrench users._x000a_.Provide trainings to relevant personnel on LOTO Procedures, Housekeeping and works in process areas. _x000a_.Include hand-held tools and their manufacturer instructional manuals in risk assessments._x000a_Integrate impact wrenches and other hand-held tools into the CMMS for regular maintenance._x000a_.Ensure adequate resourcing for each specific task, including qualified job supervision._x000a_.Notify the vendor / manufacturer about discrepancies in safety information in the Manufacturer Instruction Manual._x000a_.Boost the implementation of a monitoring system for tool purchases and encourage timely registration in the warehouse._x000a_.Enhance HSSE considerations throughout the supply chain process._x000a_.Strengthen QA/QC processes for purchased tools."/>
  </r>
  <r>
    <n v="3"/>
    <x v="2"/>
    <s v="CERCINA"/>
    <s v="CERCINA 7A WO 5"/>
    <d v="2024-03-04T00:00:00"/>
    <s v="Asset damage"/>
    <x v="1"/>
    <x v="2"/>
    <s v="Asset Integrity_x000a_(Tehnical)"/>
    <s v="Facility"/>
    <x v="1"/>
    <x v="0"/>
    <x v="0"/>
    <x v="2"/>
    <m/>
    <s v="Workover team wasn’t aware that this a Gas line. "/>
    <s v="Lack of coordination between production and Workover"/>
    <s v="Open the gas valve."/>
    <s v="Mark (signal) the valve to avoid error close. "/>
  </r>
  <r>
    <n v="4"/>
    <x v="3"/>
    <s v="EL AIN"/>
    <s v="EL AIN 3SD WO 6"/>
    <d v="2024-04-01T00:00:00"/>
    <s v="Asset damage"/>
    <x v="1"/>
    <x v="3"/>
    <s v="Asset Integrity_x000a_(Opertaional)"/>
    <s v="Facility"/>
    <x v="2"/>
    <x v="0"/>
    <x v="0"/>
    <x v="2"/>
    <m/>
    <s v="False maneuvre of forklift operator in the same place"/>
    <s v="The area is very limited"/>
    <s v="Avoid move of forklift on electrical cabels_x000a_istruct the forklift operator to change the trajectory"/>
    <s v="Use heavy-duty cable protectors designed to withstand the weight and movement of forklifts._x000a__x000a_Protect electrical cables by laying them inside cable protective hamp."/>
  </r>
  <r>
    <n v="5"/>
    <x v="4"/>
    <s v="GUEBIBA STATION &amp;GUEBIBA CLUSTER"/>
    <s v="GUEBIBA &amp;GUEBIBA CLUSTER"/>
    <d v="2024-04-01T00:00:00"/>
    <s v="Asset damage"/>
    <x v="1"/>
    <x v="4"/>
    <s v="Asset Integrity (Design &amp; Operational)"/>
    <s v="Pipeline"/>
    <x v="3"/>
    <x v="1"/>
    <x v="2"/>
    <x v="1"/>
    <m/>
    <s v="Thermal expansion due to hot fluid temperatures within the pipeline "/>
    <s v="The maximum operating temperature of the pipeline cannot support the high temperature of the fluid. "/>
    <m/>
    <s v="Select only the well which can be supported by maximum operating temperature of the pipeline                                                                                                                                                 Added an expansion loop to reduce the effects of thermal movement._x000a_Build a concrete anchor block from both sides to restrain the movement of the pipeline. "/>
  </r>
  <r>
    <n v="6"/>
    <x v="2"/>
    <s v="EL AIN"/>
    <s v="EL AIN 3SD WO 6"/>
    <d v="2024-04-04T00:00:00"/>
    <s v="Asset damage"/>
    <x v="1"/>
    <x v="5"/>
    <s v="Asset Integrity (Technical)"/>
    <s v="Well"/>
    <x v="4"/>
    <x v="1"/>
    <x v="2"/>
    <x v="1"/>
    <m/>
    <s v="Probably deposits trapped between the Packer and Casing caused a stuck. "/>
    <m/>
    <s v=".Lay down free joint. _x000a_.Secure the well_x000a_.Submit an incident report "/>
    <m/>
  </r>
  <r>
    <n v="7"/>
    <x v="5"/>
    <s v="GUEBIBA "/>
    <s v="El-HAJEB"/>
    <d v="2024-05-01T00:00:00"/>
    <s v="MEDEVAC"/>
    <x v="2"/>
    <x v="6"/>
    <s v="Meadical Treatment Case"/>
    <m/>
    <x v="0"/>
    <x v="0"/>
    <x v="2"/>
    <x v="0"/>
    <m/>
    <m/>
    <m/>
    <s v="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
    <m/>
  </r>
  <r>
    <n v="8"/>
    <x v="6"/>
    <s v="TANK BATTERY"/>
    <s v="TANK BATTERY"/>
    <d v="2024-05-07T00:00:00"/>
    <s v="Asset damage"/>
    <x v="1"/>
    <x v="7"/>
    <s v="Asset Integrity_x000a_(Technical)"/>
    <s v="Pipeline"/>
    <x v="5"/>
    <x v="2"/>
    <x v="0"/>
    <x v="2"/>
    <m/>
    <s v="A doubt of corrosion in the internal part of the Ring groove or a damge in the Ring itself.  "/>
    <s v="To be defined"/>
    <m/>
    <s v="Plan for a deeper diagnosis and convenient repair with a dedicated reparation procedure."/>
  </r>
  <r>
    <n v="9"/>
    <x v="7"/>
    <s v="GUEBIBA "/>
    <s v="GUEBIBA 7"/>
    <d v="2024-05-19T00:00:00"/>
    <s v="Security"/>
    <x v="3"/>
    <x v="8"/>
    <s v="Security"/>
    <m/>
    <x v="0"/>
    <x v="0"/>
    <x v="0"/>
    <x v="0"/>
    <m/>
    <m/>
    <m/>
    <s v="Replace the watchman"/>
    <s v=".Provide additional training to the watchman on the importance of their role and responsibilities_x000a_.Establish a clear protocol for communication if the watchman needs to leave their post for any reason."/>
  </r>
  <r>
    <n v="10"/>
    <x v="8"/>
    <s v="GUEBIBA"/>
    <s v="El-HAJEB"/>
    <s v="JUNE"/>
    <s v="Process Safety"/>
    <x v="4"/>
    <x v="9"/>
    <s v="Asset Integrity_x000a_(Technical)"/>
    <s v="Well"/>
    <x v="4"/>
    <x v="2"/>
    <x v="0"/>
    <x v="1"/>
    <m/>
    <m/>
    <m/>
    <m/>
    <m/>
  </r>
  <r>
    <n v="11"/>
    <x v="9"/>
    <s v="CERCINA"/>
    <s v="6 INCH SEALINE"/>
    <d v="2024-06-19T00:00:00"/>
    <s v="Process Safety"/>
    <x v="4"/>
    <x v="10"/>
    <s v="Asset Integrity_x000a_(Technical)"/>
    <s v="Pipeline"/>
    <x v="6"/>
    <x v="1"/>
    <x v="0"/>
    <x v="3"/>
    <m/>
    <s v="The existence of the free Span which could be increased due to high current frequency as per the metology. _x000a_This area is known by frequent fishing activity."/>
    <s v="A  fishing boat Crew layed the anchor to the seabed for normal fishing activity near the sealine location._x000a_By current activity, this anchor was attached to the sealine due to the free span which this area presents._x000a_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
    <s v="Free the pipe portion from the anchor._x000a_Assess visually the pipe portion status further to this incident._x000a_Repair the free span._x000a_The pipe is presenting a small dent but not damaged as per the visual examination, however further to the next IP campaign (with geometric tool) we will check the extent of this dent as well as status of this exact location according to the GPS coordinates._x000a_Increase the Free span survey frequency and plan the repair, if any, as soon as possible accordingly."/>
    <m/>
  </r>
  <r>
    <n v="12"/>
    <x v="10"/>
    <s v="CERCINA"/>
    <s v="DELTA PLATFORM"/>
    <d v="2024-07-03T00:00:00"/>
    <s v="Process Safety"/>
    <x v="4"/>
    <x v="11"/>
    <s v="Asset Integrity_x000a_(Technical)"/>
    <s v="Pipeline"/>
    <x v="0"/>
    <x v="2"/>
    <x v="0"/>
    <x v="1"/>
    <m/>
    <s v="Galvanic Corrosion due to inadequate insulation between the pipe and the support "/>
    <s v="TBD"/>
    <s v="Isolation of the leaking spool_x000a_Preparing a new spool for replacement_x000a_Check the insulation between pipes and related supports and proceed with adequate insulation."/>
    <m/>
  </r>
  <r>
    <n v="13"/>
    <x v="11"/>
    <s v="TANK BATTERY"/>
    <s v="TANK BATTERY"/>
    <d v="2024-07-18T00:00:00"/>
    <s v="Security"/>
    <x v="3"/>
    <x v="12"/>
    <s v="Security"/>
    <m/>
    <x v="0"/>
    <x v="0"/>
    <x v="3"/>
    <x v="4"/>
    <m/>
    <m/>
    <m/>
    <m/>
    <s v="Repair Tank Battery gate, particulary the automation system"/>
  </r>
  <r>
    <n v="14"/>
    <x v="12"/>
    <s v="GUEBIBA"/>
    <s v="GUEBIBA#14 WO MAIN GATE"/>
    <d v="2024-09-06T00:00:00"/>
    <s v="Asset damage"/>
    <x v="1"/>
    <x v="13"/>
    <s v="Asset Integrity"/>
    <m/>
    <x v="0"/>
    <x v="0"/>
    <x v="0"/>
    <x v="1"/>
    <m/>
    <s v="Only one banksman  _x000a_Poor supervision_x000a_"/>
    <m/>
    <s v="-Stop work_x000a_'-Stand out time for safety during 30 mn in both site Gue#14 and Gue#3_x000a_'-Made a temporary gate to secure the well site during the night and initiate process with production to make a new gate  "/>
    <m/>
  </r>
  <r>
    <n v="15"/>
    <x v="13"/>
    <s v="EL AIN"/>
    <s v=" TPS pipe"/>
    <d v="2024-10-11T00:00:00"/>
    <s v="Near Miss"/>
    <x v="5"/>
    <x v="14"/>
    <s v="Near Miss"/>
    <s v="Pipeline"/>
    <x v="6"/>
    <x v="1"/>
    <x v="4"/>
    <x v="0"/>
    <m/>
    <m/>
    <m/>
    <m/>
    <s v="Official letter should be issued and submitted to SONEDE emphasizing this issue and highlighting what can be resulted if things become worsen. Attach all pipeline assets of TPS to the letter. This can also be generalized with the other potential public companies such as STEG._x000a_Request the advanced center of fire brigade to enhance the level of surveillance at the hot spots."/>
  </r>
  <r>
    <n v="16"/>
    <x v="13"/>
    <s v="CERCINA"/>
    <s v="Cercina sealine"/>
    <d v="2024-10-13T00:00:00"/>
    <s v="Security"/>
    <x v="3"/>
    <x v="15"/>
    <s v="Security"/>
    <m/>
    <x v="0"/>
    <x v="0"/>
    <x v="3"/>
    <x v="4"/>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
  <location ref="C4:D11" firstHeaderRow="1" firstDataRow="1" firstDataCol="1"/>
  <pivotFields count="19">
    <pivotField compact="0" outline="0" showAll="0"/>
    <pivotField compact="0" outline="0" showAll="0">
      <items count="15">
        <item x="0"/>
        <item x="1"/>
        <item x="11"/>
        <item x="10"/>
        <item x="12"/>
        <item x="3"/>
        <item x="4"/>
        <item x="5"/>
        <item x="9"/>
        <item x="7"/>
        <item x="2"/>
        <item x="8"/>
        <item x="6"/>
        <item x="13"/>
        <item t="default"/>
      </items>
    </pivotField>
    <pivotField compact="0" outline="0" showAll="0"/>
    <pivotField compact="0" outline="0" showAll="0"/>
    <pivotField compact="0" outline="0" showAll="0"/>
    <pivotField compact="0" outline="0" showAll="0"/>
    <pivotField axis="axisRow" dataField="1" compact="0" outline="0" showAll="0" sortType="descending">
      <items count="7">
        <item x="1"/>
        <item x="0"/>
        <item x="2"/>
        <item x="5"/>
        <item x="4"/>
        <item x="3"/>
        <item t="default"/>
      </items>
      <autoSortScope>
        <pivotArea dataOnly="0" outline="0" fieldPosition="0">
          <references count="1">
            <reference field="4294967294" count="1" selected="0">
              <x v="0"/>
            </reference>
          </references>
        </pivotArea>
      </autoSortScope>
    </pivotField>
    <pivotField compact="0" outline="0" showAll="0">
      <items count="17">
        <item x="12"/>
        <item x="10"/>
        <item x="11"/>
        <item x="6"/>
        <item x="1"/>
        <item x="0"/>
        <item x="7"/>
        <item x="8"/>
        <item x="5"/>
        <item x="4"/>
        <item x="13"/>
        <item x="9"/>
        <item x="15"/>
        <item x="14"/>
        <item x="2"/>
        <item x="3"/>
        <item t="default"/>
      </items>
    </pivotField>
    <pivotField compact="0" outline="0" showAll="0"/>
    <pivotField compact="0" outline="0" showAll="0"/>
    <pivotField compact="0" outline="0" showAll="0">
      <items count="8">
        <item x="1"/>
        <item x="2"/>
        <item x="6"/>
        <item x="3"/>
        <item x="5"/>
        <item x="4"/>
        <item x="0"/>
        <item t="default"/>
      </items>
    </pivotField>
    <pivotField compact="0" outline="0" showAll="0">
      <items count="4">
        <item x="2"/>
        <item x="1"/>
        <item x="0"/>
        <item t="default"/>
      </items>
    </pivotField>
    <pivotField compact="0" outline="0" showAll="0">
      <items count="6">
        <item x="4"/>
        <item x="0"/>
        <item x="2"/>
        <item x="1"/>
        <item x="3"/>
        <item t="default"/>
      </items>
    </pivotField>
    <pivotField compact="0" outline="0" showAll="0">
      <items count="6">
        <item x="2"/>
        <item x="0"/>
        <item x="1"/>
        <item x="3"/>
        <item x="4"/>
        <item t="default"/>
      </items>
    </pivotField>
    <pivotField compact="0" outline="0" showAll="0"/>
    <pivotField compact="0" outline="0" showAll="0"/>
    <pivotField compact="0" outline="0" showAll="0"/>
    <pivotField compact="0" outline="0" showAll="0"/>
    <pivotField compact="0" outline="0" showAll="0"/>
  </pivotFields>
  <rowFields count="1">
    <field x="6"/>
  </rowFields>
  <rowItems count="7">
    <i>
      <x/>
    </i>
    <i>
      <x v="4"/>
    </i>
    <i>
      <x v="5"/>
    </i>
    <i>
      <x v="1"/>
    </i>
    <i>
      <x v="3"/>
    </i>
    <i>
      <x v="2"/>
    </i>
    <i t="grand">
      <x/>
    </i>
  </rowItems>
  <colItems count="1">
    <i/>
  </colItems>
  <dataFields count="1">
    <dataField name="Count of Sub category" fld="6" subtotal="count" showDataAs="percentOfTotal" baseField="0" baseItem="0" numFmtId="1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B10"/>
  <sheetViews>
    <sheetView workbookViewId="0">
      <selection activeCell="B2" sqref="B2"/>
    </sheetView>
  </sheetViews>
  <sheetFormatPr baseColWidth="10" defaultColWidth="9" defaultRowHeight="14.25"/>
  <cols>
    <col min="1" max="1" width="36.125" customWidth="1"/>
  </cols>
  <sheetData>
    <row r="1" spans="1:2">
      <c r="A1" s="1" t="s">
        <v>0</v>
      </c>
      <c r="B1">
        <v>9</v>
      </c>
    </row>
    <row r="2" spans="1:2">
      <c r="A2" s="1" t="s">
        <v>2</v>
      </c>
      <c r="B2">
        <v>3</v>
      </c>
    </row>
    <row r="3" spans="1:2">
      <c r="A3" s="1" t="s">
        <v>1</v>
      </c>
      <c r="B3">
        <v>2</v>
      </c>
    </row>
    <row r="4" spans="1:2">
      <c r="A4" s="1" t="s">
        <v>140</v>
      </c>
      <c r="B4">
        <v>1</v>
      </c>
    </row>
    <row r="5" spans="1:2">
      <c r="A5" s="1" t="s">
        <v>139</v>
      </c>
      <c r="B5">
        <v>1</v>
      </c>
    </row>
    <row r="6" spans="1:2">
      <c r="A6" s="1"/>
    </row>
    <row r="7" spans="1:2">
      <c r="A7" s="1"/>
    </row>
    <row r="8" spans="1:2">
      <c r="A8" s="1"/>
    </row>
    <row r="9" spans="1:2">
      <c r="A9" s="1"/>
    </row>
    <row r="10" spans="1:2">
      <c r="A10"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9"/>
  <sheetViews>
    <sheetView topLeftCell="A35" workbookViewId="0">
      <selection activeCell="A40" sqref="A40"/>
    </sheetView>
  </sheetViews>
  <sheetFormatPr baseColWidth="10" defaultColWidth="9" defaultRowHeight="14.25"/>
  <cols>
    <col min="1" max="1" width="36.125" customWidth="1"/>
  </cols>
  <sheetData>
    <row r="1" spans="1:2">
      <c r="A1" s="1" t="s">
        <v>3</v>
      </c>
      <c r="B1">
        <v>0</v>
      </c>
    </row>
    <row r="2" spans="1:2">
      <c r="A2" s="1" t="s">
        <v>4</v>
      </c>
      <c r="B2">
        <v>3</v>
      </c>
    </row>
    <row r="3" spans="1:2">
      <c r="A3" s="1" t="s">
        <v>5</v>
      </c>
      <c r="B3">
        <v>4</v>
      </c>
    </row>
    <row r="4" spans="1:2">
      <c r="A4" s="1" t="s">
        <v>6</v>
      </c>
      <c r="B4">
        <v>0.92</v>
      </c>
    </row>
    <row r="5" spans="1:2">
      <c r="A5" s="1"/>
    </row>
    <row r="6" spans="1:2">
      <c r="A6" s="1" t="s">
        <v>7</v>
      </c>
      <c r="B6">
        <v>2</v>
      </c>
    </row>
    <row r="7" spans="1:2">
      <c r="A7" s="1" t="s">
        <v>8</v>
      </c>
      <c r="B7">
        <v>5</v>
      </c>
    </row>
    <row r="8" spans="1:2">
      <c r="A8" s="1" t="s">
        <v>9</v>
      </c>
      <c r="B8">
        <v>0</v>
      </c>
    </row>
    <row r="9" spans="1:2">
      <c r="A9" s="1" t="s">
        <v>10</v>
      </c>
      <c r="B9">
        <v>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dimension ref="A1:U34"/>
  <sheetViews>
    <sheetView tabSelected="1" topLeftCell="I1" zoomScale="60" zoomScaleNormal="60" workbookViewId="0">
      <selection activeCell="S24" sqref="S24:S34"/>
    </sheetView>
  </sheetViews>
  <sheetFormatPr baseColWidth="10" defaultColWidth="9" defaultRowHeight="14.25"/>
  <cols>
    <col min="2" max="3" width="13.625" customWidth="1"/>
    <col min="4" max="4" width="18.875" customWidth="1"/>
    <col min="5" max="5" width="17" customWidth="1"/>
    <col min="6" max="6" width="16.75" customWidth="1"/>
    <col min="7" max="7" width="18.625" customWidth="1"/>
    <col min="8" max="8" width="49.375" customWidth="1"/>
    <col min="9" max="9" width="15.875" customWidth="1"/>
    <col min="10" max="11" width="16.375" customWidth="1"/>
    <col min="12" max="12" width="15.875" customWidth="1"/>
    <col min="15" max="15" width="16.375" customWidth="1"/>
    <col min="16" max="16" width="23" customWidth="1"/>
    <col min="17" max="17" width="31.875" customWidth="1"/>
    <col min="18" max="18" width="33.5" customWidth="1"/>
    <col min="19" max="19" width="27.375" customWidth="1"/>
  </cols>
  <sheetData>
    <row r="1" spans="1:21">
      <c r="A1" s="2"/>
    </row>
    <row r="2" spans="1:21">
      <c r="A2" s="2"/>
    </row>
    <row r="3" spans="1:21">
      <c r="A3" s="2"/>
    </row>
    <row r="4" spans="1:21" ht="23.25">
      <c r="A4" s="34" t="s">
        <v>11</v>
      </c>
      <c r="B4" s="34"/>
      <c r="C4" s="34"/>
      <c r="D4" s="34"/>
      <c r="E4" s="34"/>
      <c r="F4" s="34"/>
      <c r="G4" s="34"/>
      <c r="H4" s="34"/>
      <c r="I4" s="34"/>
      <c r="J4" s="34"/>
      <c r="K4" s="34"/>
      <c r="L4" s="34"/>
      <c r="M4" s="34"/>
      <c r="N4" s="34"/>
      <c r="O4" s="34"/>
      <c r="P4" s="34"/>
      <c r="Q4" s="34"/>
      <c r="R4" s="34"/>
      <c r="S4" s="34"/>
    </row>
    <row r="5" spans="1:21">
      <c r="A5" s="2"/>
    </row>
    <row r="6" spans="1:21" ht="53.45" customHeight="1">
      <c r="A6" s="3" t="s">
        <v>12</v>
      </c>
      <c r="B6" s="3" t="s">
        <v>13</v>
      </c>
      <c r="C6" s="3" t="s">
        <v>14</v>
      </c>
      <c r="D6" s="3" t="s">
        <v>15</v>
      </c>
      <c r="E6" s="4" t="s">
        <v>16</v>
      </c>
      <c r="F6" s="3" t="s">
        <v>17</v>
      </c>
      <c r="G6" s="3" t="s">
        <v>18</v>
      </c>
      <c r="H6" s="3" t="s">
        <v>19</v>
      </c>
      <c r="I6" s="4" t="s">
        <v>20</v>
      </c>
      <c r="J6" s="4" t="s">
        <v>21</v>
      </c>
      <c r="K6" s="4" t="s">
        <v>22</v>
      </c>
      <c r="L6" s="4" t="s">
        <v>23</v>
      </c>
      <c r="M6" s="3" t="s">
        <v>24</v>
      </c>
      <c r="N6" s="3" t="s">
        <v>25</v>
      </c>
      <c r="O6" s="4" t="s">
        <v>26</v>
      </c>
      <c r="P6" s="3" t="s">
        <v>27</v>
      </c>
      <c r="Q6" s="3" t="s">
        <v>28</v>
      </c>
      <c r="R6" s="3" t="s">
        <v>29</v>
      </c>
      <c r="S6" s="3" t="s">
        <v>30</v>
      </c>
    </row>
    <row r="7" spans="1:21" ht="99.75">
      <c r="A7" s="5">
        <v>1</v>
      </c>
      <c r="B7" s="5" t="s">
        <v>31</v>
      </c>
      <c r="C7" s="5" t="s">
        <v>32</v>
      </c>
      <c r="D7" s="5" t="s">
        <v>33</v>
      </c>
      <c r="E7" s="17">
        <v>45293</v>
      </c>
      <c r="F7" s="5" t="s">
        <v>34</v>
      </c>
      <c r="G7" s="5" t="s">
        <v>34</v>
      </c>
      <c r="H7" s="6" t="s">
        <v>35</v>
      </c>
      <c r="I7" s="7" t="s">
        <v>138</v>
      </c>
      <c r="J7" s="23"/>
      <c r="K7" s="23"/>
      <c r="L7" s="23"/>
      <c r="M7" s="5">
        <v>1</v>
      </c>
      <c r="N7" s="5">
        <v>2</v>
      </c>
      <c r="O7" s="5" t="s">
        <v>37</v>
      </c>
      <c r="P7" s="8" t="s">
        <v>38</v>
      </c>
      <c r="Q7" s="9" t="s">
        <v>39</v>
      </c>
      <c r="R7" s="9" t="s">
        <v>40</v>
      </c>
      <c r="S7" s="14" t="s">
        <v>41</v>
      </c>
      <c r="T7" s="10"/>
      <c r="U7" s="10"/>
    </row>
    <row r="8" spans="1:21" ht="408.6" customHeight="1">
      <c r="A8" s="5">
        <v>2</v>
      </c>
      <c r="B8" s="5" t="s">
        <v>42</v>
      </c>
      <c r="C8" s="5" t="s">
        <v>43</v>
      </c>
      <c r="D8" s="5" t="s">
        <v>44</v>
      </c>
      <c r="E8" s="17">
        <v>45331</v>
      </c>
      <c r="F8" s="5" t="s">
        <v>34</v>
      </c>
      <c r="G8" s="5" t="s">
        <v>34</v>
      </c>
      <c r="H8" s="6" t="s">
        <v>45</v>
      </c>
      <c r="I8" s="11" t="s">
        <v>46</v>
      </c>
      <c r="J8" s="24"/>
      <c r="K8" s="24"/>
      <c r="L8" s="24"/>
      <c r="M8" s="5">
        <v>3</v>
      </c>
      <c r="N8" s="5">
        <v>3</v>
      </c>
      <c r="O8" s="5" t="s">
        <v>47</v>
      </c>
      <c r="P8" s="16" t="s">
        <v>48</v>
      </c>
      <c r="Q8" s="16" t="s">
        <v>49</v>
      </c>
      <c r="R8" s="9" t="s">
        <v>50</v>
      </c>
      <c r="S8" s="14" t="s">
        <v>51</v>
      </c>
    </row>
    <row r="9" spans="1:21" ht="120">
      <c r="A9" s="5">
        <v>3</v>
      </c>
      <c r="B9" s="7" t="s">
        <v>52</v>
      </c>
      <c r="C9" s="5" t="s">
        <v>43</v>
      </c>
      <c r="D9" s="5" t="s">
        <v>53</v>
      </c>
      <c r="E9" s="17">
        <v>45355</v>
      </c>
      <c r="F9" s="5" t="s">
        <v>54</v>
      </c>
      <c r="G9" s="5" t="s">
        <v>54</v>
      </c>
      <c r="H9" s="6" t="s">
        <v>55</v>
      </c>
      <c r="I9" s="12" t="s">
        <v>56</v>
      </c>
      <c r="J9" s="12" t="s">
        <v>57</v>
      </c>
      <c r="K9" s="13" t="s">
        <v>58</v>
      </c>
      <c r="L9" s="25"/>
      <c r="M9" s="5">
        <v>1</v>
      </c>
      <c r="N9" s="5">
        <v>1</v>
      </c>
      <c r="O9" s="26"/>
      <c r="P9" s="9" t="s">
        <v>59</v>
      </c>
      <c r="Q9" s="9" t="s">
        <v>60</v>
      </c>
      <c r="R9" s="9" t="s">
        <v>61</v>
      </c>
      <c r="S9" s="13" t="s">
        <v>62</v>
      </c>
    </row>
    <row r="10" spans="1:21" ht="120">
      <c r="A10" s="5">
        <v>4</v>
      </c>
      <c r="B10" s="7" t="s">
        <v>63</v>
      </c>
      <c r="C10" s="5" t="s">
        <v>64</v>
      </c>
      <c r="D10" s="5" t="s">
        <v>65</v>
      </c>
      <c r="E10" s="17">
        <v>45383</v>
      </c>
      <c r="F10" s="5" t="s">
        <v>54</v>
      </c>
      <c r="G10" s="5" t="s">
        <v>54</v>
      </c>
      <c r="H10" s="6" t="s">
        <v>66</v>
      </c>
      <c r="I10" s="12" t="s">
        <v>67</v>
      </c>
      <c r="J10" s="12" t="s">
        <v>57</v>
      </c>
      <c r="K10" s="12" t="s">
        <v>68</v>
      </c>
      <c r="L10" s="25"/>
      <c r="M10" s="5">
        <v>1</v>
      </c>
      <c r="N10" s="5">
        <v>1</v>
      </c>
      <c r="O10" s="26"/>
      <c r="P10" s="9" t="s">
        <v>69</v>
      </c>
      <c r="Q10" s="9" t="s">
        <v>70</v>
      </c>
      <c r="R10" s="13" t="s">
        <v>71</v>
      </c>
      <c r="S10" s="15" t="s">
        <v>72</v>
      </c>
    </row>
    <row r="11" spans="1:21" ht="150">
      <c r="A11" s="5">
        <v>5</v>
      </c>
      <c r="B11" s="7" t="s">
        <v>73</v>
      </c>
      <c r="C11" s="7" t="s">
        <v>74</v>
      </c>
      <c r="D11" s="7" t="s">
        <v>75</v>
      </c>
      <c r="E11" s="17">
        <v>45383</v>
      </c>
      <c r="F11" s="5" t="s">
        <v>54</v>
      </c>
      <c r="G11" s="5" t="s">
        <v>54</v>
      </c>
      <c r="H11" s="6" t="s">
        <v>76</v>
      </c>
      <c r="I11" s="12" t="s">
        <v>77</v>
      </c>
      <c r="J11" s="12" t="s">
        <v>78</v>
      </c>
      <c r="K11" s="13" t="s">
        <v>79</v>
      </c>
      <c r="L11" s="12" t="s">
        <v>80</v>
      </c>
      <c r="M11" s="5">
        <v>2</v>
      </c>
      <c r="N11" s="5">
        <v>3</v>
      </c>
      <c r="O11" s="26"/>
      <c r="P11" s="9" t="s">
        <v>81</v>
      </c>
      <c r="Q11" s="9" t="s">
        <v>82</v>
      </c>
      <c r="R11" s="9"/>
      <c r="S11" s="13" t="s">
        <v>83</v>
      </c>
    </row>
    <row r="12" spans="1:21" ht="195">
      <c r="A12" s="5">
        <v>6</v>
      </c>
      <c r="B12" s="7" t="s">
        <v>52</v>
      </c>
      <c r="C12" s="5" t="s">
        <v>64</v>
      </c>
      <c r="D12" s="5" t="s">
        <v>65</v>
      </c>
      <c r="E12" s="17">
        <v>45386</v>
      </c>
      <c r="F12" s="5" t="s">
        <v>54</v>
      </c>
      <c r="G12" s="5" t="s">
        <v>54</v>
      </c>
      <c r="H12" s="6" t="s">
        <v>84</v>
      </c>
      <c r="I12" s="12" t="s">
        <v>85</v>
      </c>
      <c r="J12" s="12" t="s">
        <v>86</v>
      </c>
      <c r="K12" s="12" t="s">
        <v>86</v>
      </c>
      <c r="L12" s="12" t="s">
        <v>80</v>
      </c>
      <c r="M12" s="5">
        <v>2</v>
      </c>
      <c r="N12" s="5">
        <v>3</v>
      </c>
      <c r="O12" s="27"/>
      <c r="P12" s="9" t="s">
        <v>87</v>
      </c>
      <c r="Q12" s="9"/>
      <c r="R12" s="9" t="s">
        <v>88</v>
      </c>
      <c r="S12" s="13"/>
    </row>
    <row r="13" spans="1:21" ht="135">
      <c r="A13" s="5">
        <v>7</v>
      </c>
      <c r="B13" s="7" t="s">
        <v>89</v>
      </c>
      <c r="C13" s="5" t="s">
        <v>90</v>
      </c>
      <c r="D13" s="5" t="s">
        <v>91</v>
      </c>
      <c r="E13" s="17">
        <v>45413</v>
      </c>
      <c r="F13" s="5" t="s">
        <v>92</v>
      </c>
      <c r="G13" s="5" t="s">
        <v>92</v>
      </c>
      <c r="H13" s="6" t="s">
        <v>93</v>
      </c>
      <c r="I13" s="7" t="s">
        <v>36</v>
      </c>
      <c r="J13" s="23"/>
      <c r="K13" s="23"/>
      <c r="L13" s="23"/>
      <c r="M13" s="5">
        <v>2</v>
      </c>
      <c r="N13" s="5">
        <v>2</v>
      </c>
      <c r="O13" s="26"/>
      <c r="P13" s="7"/>
      <c r="Q13" s="9"/>
      <c r="R13" s="9" t="s">
        <v>94</v>
      </c>
      <c r="S13" s="13"/>
    </row>
    <row r="14" spans="1:21" ht="60">
      <c r="A14" s="5">
        <v>8</v>
      </c>
      <c r="B14" s="7" t="s">
        <v>95</v>
      </c>
      <c r="C14" s="5" t="s">
        <v>96</v>
      </c>
      <c r="D14" s="5" t="s">
        <v>96</v>
      </c>
      <c r="E14" s="17">
        <v>45419</v>
      </c>
      <c r="F14" s="5" t="s">
        <v>54</v>
      </c>
      <c r="G14" s="5" t="s">
        <v>54</v>
      </c>
      <c r="H14" s="6" t="s">
        <v>97</v>
      </c>
      <c r="I14" s="7" t="s">
        <v>98</v>
      </c>
      <c r="J14" s="7" t="s">
        <v>78</v>
      </c>
      <c r="K14" s="18" t="s">
        <v>99</v>
      </c>
      <c r="L14" s="7" t="s">
        <v>100</v>
      </c>
      <c r="M14" s="5">
        <v>1</v>
      </c>
      <c r="N14" s="5">
        <v>1</v>
      </c>
      <c r="O14" s="26"/>
      <c r="P14" s="9" t="s">
        <v>101</v>
      </c>
      <c r="Q14" s="9" t="s">
        <v>102</v>
      </c>
      <c r="R14" s="9"/>
      <c r="S14" s="13" t="s">
        <v>103</v>
      </c>
    </row>
    <row r="15" spans="1:21" ht="120">
      <c r="A15" s="5">
        <v>9</v>
      </c>
      <c r="B15" s="7" t="s">
        <v>104</v>
      </c>
      <c r="C15" s="5" t="s">
        <v>90</v>
      </c>
      <c r="D15" s="5" t="s">
        <v>105</v>
      </c>
      <c r="E15" s="17">
        <v>45431</v>
      </c>
      <c r="F15" s="5" t="s">
        <v>2</v>
      </c>
      <c r="G15" s="5" t="s">
        <v>2</v>
      </c>
      <c r="H15" s="6" t="s">
        <v>106</v>
      </c>
      <c r="I15" s="5" t="s">
        <v>2</v>
      </c>
      <c r="J15" s="26"/>
      <c r="K15" s="26"/>
      <c r="L15" s="26"/>
      <c r="M15" s="5">
        <v>1</v>
      </c>
      <c r="N15" s="5">
        <v>2</v>
      </c>
      <c r="O15" s="26"/>
      <c r="P15" s="7"/>
      <c r="Q15" s="9"/>
      <c r="R15" s="9" t="s">
        <v>107</v>
      </c>
      <c r="S15" s="13" t="s">
        <v>108</v>
      </c>
    </row>
    <row r="16" spans="1:21" ht="45">
      <c r="A16" s="5">
        <v>10</v>
      </c>
      <c r="B16" s="7" t="s">
        <v>109</v>
      </c>
      <c r="C16" s="5" t="s">
        <v>110</v>
      </c>
      <c r="D16" s="5" t="s">
        <v>111</v>
      </c>
      <c r="E16" s="17" t="s">
        <v>112</v>
      </c>
      <c r="F16" s="5" t="s">
        <v>113</v>
      </c>
      <c r="G16" s="5" t="s">
        <v>113</v>
      </c>
      <c r="H16" s="6" t="s">
        <v>114</v>
      </c>
      <c r="I16" s="7" t="s">
        <v>98</v>
      </c>
      <c r="J16" s="7" t="s">
        <v>86</v>
      </c>
      <c r="K16" s="12" t="s">
        <v>86</v>
      </c>
      <c r="L16" s="7" t="s">
        <v>100</v>
      </c>
      <c r="M16" s="5">
        <v>1</v>
      </c>
      <c r="N16" s="5">
        <v>3</v>
      </c>
      <c r="O16" s="26"/>
      <c r="P16" s="7"/>
      <c r="Q16" s="9"/>
      <c r="R16" s="9"/>
      <c r="S16" s="13"/>
    </row>
    <row r="17" spans="1:19" ht="213.75">
      <c r="A17" s="5">
        <v>11</v>
      </c>
      <c r="B17" s="7" t="s">
        <v>115</v>
      </c>
      <c r="C17" s="5" t="s">
        <v>43</v>
      </c>
      <c r="D17" s="5" t="s">
        <v>116</v>
      </c>
      <c r="E17" s="17">
        <v>45462</v>
      </c>
      <c r="F17" s="5" t="s">
        <v>113</v>
      </c>
      <c r="G17" s="5" t="s">
        <v>113</v>
      </c>
      <c r="H17" s="6" t="s">
        <v>117</v>
      </c>
      <c r="I17" s="7" t="s">
        <v>98</v>
      </c>
      <c r="J17" s="7" t="s">
        <v>78</v>
      </c>
      <c r="K17" s="7" t="s">
        <v>118</v>
      </c>
      <c r="L17" s="7" t="s">
        <v>80</v>
      </c>
      <c r="M17" s="5">
        <v>1</v>
      </c>
      <c r="N17" s="5">
        <v>6</v>
      </c>
      <c r="O17" s="26"/>
      <c r="P17" s="9" t="s">
        <v>119</v>
      </c>
      <c r="Q17" s="9" t="s">
        <v>120</v>
      </c>
      <c r="R17" s="9" t="s">
        <v>121</v>
      </c>
      <c r="S17" s="13"/>
    </row>
    <row r="18" spans="1:19" ht="387.6" customHeight="1">
      <c r="A18" s="5">
        <v>12</v>
      </c>
      <c r="B18" s="21" t="s">
        <v>122</v>
      </c>
      <c r="C18" s="19" t="s">
        <v>43</v>
      </c>
      <c r="D18" s="19" t="s">
        <v>44</v>
      </c>
      <c r="E18" s="20">
        <v>45476</v>
      </c>
      <c r="F18" s="5" t="s">
        <v>113</v>
      </c>
      <c r="G18" s="5" t="s">
        <v>113</v>
      </c>
      <c r="H18" s="6" t="s">
        <v>123</v>
      </c>
      <c r="I18" s="7" t="s">
        <v>98</v>
      </c>
      <c r="J18" s="7" t="s">
        <v>78</v>
      </c>
      <c r="K18" s="23"/>
      <c r="L18" s="7" t="s">
        <v>100</v>
      </c>
      <c r="M18" s="5">
        <v>1</v>
      </c>
      <c r="N18" s="5">
        <v>3</v>
      </c>
      <c r="O18" s="26"/>
      <c r="P18" s="9" t="s">
        <v>124</v>
      </c>
      <c r="Q18" s="9" t="s">
        <v>49</v>
      </c>
      <c r="R18" s="9" t="s">
        <v>125</v>
      </c>
      <c r="S18" s="13"/>
    </row>
    <row r="19" spans="1:19" ht="132.6" customHeight="1">
      <c r="A19" s="5">
        <v>13</v>
      </c>
      <c r="B19" s="21" t="s">
        <v>126</v>
      </c>
      <c r="C19" s="19" t="s">
        <v>96</v>
      </c>
      <c r="D19" s="19" t="s">
        <v>96</v>
      </c>
      <c r="E19" s="20">
        <v>45491</v>
      </c>
      <c r="F19" s="5" t="s">
        <v>2</v>
      </c>
      <c r="G19" s="5" t="s">
        <v>2</v>
      </c>
      <c r="H19" s="6" t="s">
        <v>127</v>
      </c>
      <c r="I19" s="7" t="s">
        <v>2</v>
      </c>
      <c r="J19" s="23"/>
      <c r="K19" s="23"/>
      <c r="L19" s="23"/>
      <c r="M19" s="5"/>
      <c r="N19" s="5"/>
      <c r="O19" s="26"/>
      <c r="P19" s="9"/>
      <c r="Q19" s="9"/>
      <c r="R19" s="9"/>
      <c r="S19" s="22" t="s">
        <v>128</v>
      </c>
    </row>
    <row r="20" spans="1:19" ht="101.45" customHeight="1">
      <c r="A20" s="5">
        <v>14</v>
      </c>
      <c r="B20" s="21" t="s">
        <v>129</v>
      </c>
      <c r="C20" s="19" t="s">
        <v>110</v>
      </c>
      <c r="D20" s="28" t="s">
        <v>130</v>
      </c>
      <c r="E20" s="20">
        <v>45541</v>
      </c>
      <c r="F20" s="5" t="s">
        <v>54</v>
      </c>
      <c r="G20" s="5" t="s">
        <v>54</v>
      </c>
      <c r="H20" s="30" t="s">
        <v>141</v>
      </c>
      <c r="I20" s="7" t="s">
        <v>136</v>
      </c>
      <c r="J20" s="28"/>
      <c r="K20" s="28"/>
      <c r="L20" s="28"/>
      <c r="M20" s="5">
        <v>1</v>
      </c>
      <c r="N20" s="5">
        <v>3</v>
      </c>
      <c r="O20" s="26"/>
      <c r="P20" s="9" t="s">
        <v>131</v>
      </c>
      <c r="Q20" s="9"/>
      <c r="R20" s="29" t="s">
        <v>132</v>
      </c>
      <c r="S20" s="22"/>
    </row>
    <row r="21" spans="1:19" ht="65.45" customHeight="1">
      <c r="A21" s="5">
        <v>15</v>
      </c>
      <c r="B21" s="21"/>
      <c r="C21" s="19" t="s">
        <v>64</v>
      </c>
      <c r="D21" s="28" t="s">
        <v>142</v>
      </c>
      <c r="E21" s="17">
        <v>45576</v>
      </c>
      <c r="F21" s="5" t="s">
        <v>133</v>
      </c>
      <c r="G21" s="5" t="s">
        <v>133</v>
      </c>
      <c r="H21" s="30" t="s">
        <v>134</v>
      </c>
      <c r="I21" s="5" t="s">
        <v>133</v>
      </c>
      <c r="J21" s="28" t="s">
        <v>78</v>
      </c>
      <c r="K21" s="28" t="s">
        <v>118</v>
      </c>
      <c r="L21" s="7" t="s">
        <v>80</v>
      </c>
      <c r="M21" s="5">
        <v>0</v>
      </c>
      <c r="N21" s="5">
        <v>2</v>
      </c>
      <c r="O21" s="26"/>
      <c r="P21" s="9"/>
      <c r="Q21" s="9"/>
      <c r="R21" s="29"/>
      <c r="S21" s="22" t="s">
        <v>137</v>
      </c>
    </row>
    <row r="22" spans="1:19" ht="99.6" customHeight="1">
      <c r="A22" s="5">
        <v>16</v>
      </c>
      <c r="B22" s="21"/>
      <c r="C22" s="19" t="s">
        <v>43</v>
      </c>
      <c r="D22" s="28" t="s">
        <v>143</v>
      </c>
      <c r="E22" s="17">
        <v>45578</v>
      </c>
      <c r="F22" s="5" t="s">
        <v>2</v>
      </c>
      <c r="G22" s="5" t="s">
        <v>2</v>
      </c>
      <c r="H22" s="30" t="s">
        <v>135</v>
      </c>
      <c r="I22" s="7" t="s">
        <v>2</v>
      </c>
      <c r="J22" s="28"/>
      <c r="K22" s="28"/>
      <c r="L22" s="28"/>
      <c r="M22" s="5"/>
      <c r="N22" s="5"/>
      <c r="O22" s="26"/>
      <c r="P22" s="9"/>
      <c r="Q22" s="9"/>
      <c r="R22" s="29"/>
      <c r="S22" s="22"/>
    </row>
    <row r="23" spans="1:19" ht="251.45" customHeight="1">
      <c r="A23" s="5">
        <v>17</v>
      </c>
      <c r="B23" s="21"/>
      <c r="C23" s="19" t="s">
        <v>148</v>
      </c>
      <c r="D23" s="28" t="s">
        <v>147</v>
      </c>
      <c r="E23" s="17">
        <v>45604</v>
      </c>
      <c r="F23" s="5"/>
      <c r="G23" s="5"/>
      <c r="H23" s="30" t="s">
        <v>146</v>
      </c>
      <c r="I23" s="7"/>
      <c r="J23" s="28"/>
      <c r="K23" s="28"/>
      <c r="L23" s="28"/>
      <c r="M23" s="5">
        <v>1</v>
      </c>
      <c r="N23" s="5">
        <v>2</v>
      </c>
      <c r="O23" s="26"/>
      <c r="P23" s="9" t="s">
        <v>149</v>
      </c>
      <c r="Q23" s="9" t="s">
        <v>150</v>
      </c>
      <c r="R23" s="29" t="s">
        <v>151</v>
      </c>
      <c r="S23" s="22" t="s">
        <v>152</v>
      </c>
    </row>
    <row r="24" spans="1:19" ht="180" customHeight="1">
      <c r="A24" s="5">
        <v>18</v>
      </c>
      <c r="B24" s="21" t="s">
        <v>154</v>
      </c>
      <c r="C24" s="19" t="s">
        <v>148</v>
      </c>
      <c r="D24" s="28" t="s">
        <v>147</v>
      </c>
      <c r="E24" s="17">
        <v>45629</v>
      </c>
      <c r="F24" s="5"/>
      <c r="G24" s="5"/>
      <c r="H24" s="30" t="s">
        <v>153</v>
      </c>
      <c r="I24" s="7"/>
      <c r="J24" s="28"/>
      <c r="K24" s="28"/>
      <c r="L24" s="28"/>
      <c r="M24" s="5">
        <v>1</v>
      </c>
      <c r="N24" s="5">
        <v>3</v>
      </c>
      <c r="O24" s="26"/>
      <c r="P24" s="9"/>
      <c r="Q24" s="9"/>
      <c r="R24" s="29"/>
      <c r="S24" s="22"/>
    </row>
    <row r="25" spans="1:19" ht="409.5">
      <c r="A25" s="21" t="s">
        <v>95</v>
      </c>
      <c r="B25" s="19" t="s">
        <v>96</v>
      </c>
      <c r="C25" s="28" t="s">
        <v>155</v>
      </c>
      <c r="D25" s="35">
        <v>45741</v>
      </c>
      <c r="E25" s="5" t="s">
        <v>113</v>
      </c>
      <c r="F25" s="5" t="s">
        <v>113</v>
      </c>
      <c r="G25" s="30" t="s">
        <v>156</v>
      </c>
      <c r="H25" s="5" t="s">
        <v>113</v>
      </c>
      <c r="I25" s="28"/>
      <c r="J25" s="28"/>
      <c r="K25" s="7" t="s">
        <v>80</v>
      </c>
      <c r="L25" s="5">
        <v>1</v>
      </c>
      <c r="M25" s="5">
        <v>2</v>
      </c>
      <c r="N25" s="26"/>
      <c r="O25" s="9" t="s">
        <v>157</v>
      </c>
      <c r="P25" s="9"/>
      <c r="Q25" s="29" t="s">
        <v>158</v>
      </c>
      <c r="R25" s="22"/>
      <c r="S25" s="22"/>
    </row>
    <row r="26" spans="1:19" ht="409.5">
      <c r="A26" s="7" t="s">
        <v>109</v>
      </c>
      <c r="B26" s="19"/>
      <c r="C26" s="36"/>
      <c r="D26" s="35">
        <v>45737</v>
      </c>
      <c r="E26" s="5" t="s">
        <v>133</v>
      </c>
      <c r="F26" s="5" t="s">
        <v>133</v>
      </c>
      <c r="G26" s="37" t="s">
        <v>159</v>
      </c>
      <c r="H26" s="5" t="s">
        <v>113</v>
      </c>
      <c r="I26" s="38" t="s">
        <v>78</v>
      </c>
      <c r="J26" s="36"/>
      <c r="K26" s="7" t="s">
        <v>80</v>
      </c>
      <c r="L26" s="5">
        <v>0</v>
      </c>
      <c r="M26" s="5">
        <v>2</v>
      </c>
      <c r="N26" s="36"/>
      <c r="O26" s="36"/>
      <c r="P26" s="36"/>
      <c r="Q26" s="36"/>
      <c r="R26" s="36"/>
      <c r="S26" s="22"/>
    </row>
    <row r="27" spans="1:19" ht="156.75">
      <c r="A27" s="7"/>
      <c r="B27" s="19" t="s">
        <v>96</v>
      </c>
      <c r="C27" s="28" t="s">
        <v>96</v>
      </c>
      <c r="D27" s="35" t="s">
        <v>160</v>
      </c>
      <c r="E27" s="5"/>
      <c r="F27" s="5"/>
      <c r="G27" s="39" t="s">
        <v>161</v>
      </c>
      <c r="H27" s="5" t="s">
        <v>113</v>
      </c>
      <c r="I27" s="28" t="s">
        <v>78</v>
      </c>
      <c r="J27" s="28"/>
      <c r="K27" s="7" t="s">
        <v>80</v>
      </c>
      <c r="L27" s="5">
        <v>1</v>
      </c>
      <c r="M27" s="5">
        <v>2</v>
      </c>
      <c r="N27" s="36"/>
      <c r="O27" s="9"/>
      <c r="P27" s="9"/>
      <c r="Q27" s="9"/>
      <c r="R27" s="9"/>
      <c r="S27" s="22"/>
    </row>
    <row r="28" spans="1:19" ht="409.5">
      <c r="A28" s="7" t="s">
        <v>162</v>
      </c>
      <c r="B28" s="5" t="s">
        <v>90</v>
      </c>
      <c r="C28" s="5" t="s">
        <v>90</v>
      </c>
      <c r="D28" s="35">
        <v>45806</v>
      </c>
      <c r="E28" s="5"/>
      <c r="F28" s="5"/>
      <c r="G28" s="39" t="s">
        <v>163</v>
      </c>
      <c r="H28" s="5" t="s">
        <v>113</v>
      </c>
      <c r="I28" s="40"/>
      <c r="J28" s="40"/>
      <c r="K28" s="7" t="s">
        <v>80</v>
      </c>
      <c r="L28" s="5">
        <v>1</v>
      </c>
      <c r="M28" s="5">
        <v>3</v>
      </c>
      <c r="N28" s="36"/>
      <c r="O28" s="9" t="s">
        <v>164</v>
      </c>
      <c r="P28" s="9" t="s">
        <v>165</v>
      </c>
      <c r="Q28" s="9" t="s">
        <v>166</v>
      </c>
      <c r="R28" s="9"/>
      <c r="S28" s="22"/>
    </row>
    <row r="29" spans="1:19" ht="142.5">
      <c r="A29" s="7"/>
      <c r="B29" s="19" t="s">
        <v>96</v>
      </c>
      <c r="C29" s="28" t="s">
        <v>96</v>
      </c>
      <c r="D29" s="35" t="s">
        <v>167</v>
      </c>
      <c r="E29" s="5"/>
      <c r="F29" s="5"/>
      <c r="G29" s="39" t="s">
        <v>168</v>
      </c>
      <c r="H29" s="5" t="s">
        <v>113</v>
      </c>
      <c r="I29" s="28" t="s">
        <v>78</v>
      </c>
      <c r="J29" s="28"/>
      <c r="K29" s="7" t="s">
        <v>80</v>
      </c>
      <c r="L29" s="5">
        <v>1</v>
      </c>
      <c r="M29" s="5">
        <v>2</v>
      </c>
      <c r="N29" s="36"/>
      <c r="O29" s="9"/>
      <c r="P29" s="9"/>
      <c r="Q29" s="9"/>
      <c r="R29" s="9"/>
      <c r="S29" s="22"/>
    </row>
    <row r="30" spans="1:19" ht="285">
      <c r="A30" s="7"/>
      <c r="B30" s="19" t="s">
        <v>43</v>
      </c>
      <c r="C30" s="19" t="s">
        <v>169</v>
      </c>
      <c r="D30" s="35"/>
      <c r="E30" s="5" t="s">
        <v>54</v>
      </c>
      <c r="F30" s="5" t="s">
        <v>54</v>
      </c>
      <c r="G30" s="39" t="s">
        <v>170</v>
      </c>
      <c r="H30" s="5" t="s">
        <v>113</v>
      </c>
      <c r="I30" s="41" t="s">
        <v>57</v>
      </c>
      <c r="J30" s="28"/>
      <c r="K30" s="7" t="s">
        <v>80</v>
      </c>
      <c r="L30" s="5">
        <v>0</v>
      </c>
      <c r="M30" s="5">
        <v>3</v>
      </c>
      <c r="N30" s="36"/>
      <c r="O30" s="9"/>
      <c r="P30" s="9"/>
      <c r="Q30" s="9"/>
      <c r="R30" s="9"/>
      <c r="S30" s="22"/>
    </row>
    <row r="31" spans="1:19" ht="142.5">
      <c r="A31" s="7" t="s">
        <v>171</v>
      </c>
      <c r="B31" s="19" t="s">
        <v>110</v>
      </c>
      <c r="C31" s="19" t="s">
        <v>110</v>
      </c>
      <c r="D31" s="35">
        <v>45900</v>
      </c>
      <c r="E31" s="5" t="s">
        <v>172</v>
      </c>
      <c r="F31" s="5" t="s">
        <v>173</v>
      </c>
      <c r="G31" s="39" t="s">
        <v>174</v>
      </c>
      <c r="H31" s="5" t="s">
        <v>113</v>
      </c>
      <c r="I31" s="28"/>
      <c r="J31" s="28"/>
      <c r="K31" s="7" t="s">
        <v>80</v>
      </c>
      <c r="L31" s="5">
        <v>1</v>
      </c>
      <c r="M31" s="5">
        <v>3</v>
      </c>
      <c r="N31" s="36"/>
      <c r="O31" s="42" t="s">
        <v>175</v>
      </c>
      <c r="P31" s="9" t="s">
        <v>176</v>
      </c>
      <c r="Q31" s="9" t="s">
        <v>177</v>
      </c>
      <c r="R31" s="9"/>
      <c r="S31" s="22"/>
    </row>
    <row r="32" spans="1:19" ht="375">
      <c r="A32" s="7" t="s">
        <v>162</v>
      </c>
      <c r="B32" s="28" t="s">
        <v>178</v>
      </c>
      <c r="C32" s="19" t="s">
        <v>179</v>
      </c>
      <c r="D32" s="35">
        <v>45931</v>
      </c>
      <c r="E32" s="38"/>
      <c r="F32" s="38"/>
      <c r="G32" s="30" t="s">
        <v>180</v>
      </c>
      <c r="H32" s="38" t="s">
        <v>113</v>
      </c>
      <c r="I32" s="28"/>
      <c r="J32" s="28"/>
      <c r="K32" s="7" t="s">
        <v>80</v>
      </c>
      <c r="L32" s="5">
        <v>1</v>
      </c>
      <c r="M32" s="5">
        <v>3</v>
      </c>
      <c r="N32" s="36"/>
      <c r="O32" s="42" t="s">
        <v>181</v>
      </c>
      <c r="P32" s="9"/>
      <c r="Q32" s="9" t="s">
        <v>182</v>
      </c>
      <c r="R32" s="9"/>
      <c r="S32" s="22"/>
    </row>
    <row r="33" spans="1:19" ht="60">
      <c r="A33" s="7"/>
      <c r="B33" s="5" t="s">
        <v>43</v>
      </c>
      <c r="C33" s="5" t="s">
        <v>43</v>
      </c>
      <c r="D33" s="35"/>
      <c r="E33" s="5"/>
      <c r="F33" s="5"/>
      <c r="G33" s="30" t="s">
        <v>183</v>
      </c>
      <c r="H33" s="5" t="s">
        <v>113</v>
      </c>
      <c r="I33" s="41" t="s">
        <v>57</v>
      </c>
      <c r="J33" s="28"/>
      <c r="K33" s="7" t="s">
        <v>80</v>
      </c>
      <c r="L33" s="38">
        <v>1</v>
      </c>
      <c r="M33" s="38">
        <v>2</v>
      </c>
      <c r="N33" s="36"/>
      <c r="O33" s="42"/>
      <c r="P33" s="9"/>
      <c r="Q33" s="9"/>
      <c r="R33" s="9"/>
      <c r="S33" s="22"/>
    </row>
    <row r="34" spans="1:19" ht="135">
      <c r="A34" s="7" t="s">
        <v>184</v>
      </c>
      <c r="B34" s="19" t="s">
        <v>110</v>
      </c>
      <c r="C34" s="28" t="s">
        <v>185</v>
      </c>
      <c r="D34" s="35">
        <v>45939</v>
      </c>
      <c r="E34" s="5"/>
      <c r="F34" s="5"/>
      <c r="G34" s="30" t="s">
        <v>186</v>
      </c>
      <c r="H34" s="5" t="s">
        <v>113</v>
      </c>
      <c r="I34" s="41" t="s">
        <v>57</v>
      </c>
      <c r="J34" s="28"/>
      <c r="K34" s="7" t="s">
        <v>80</v>
      </c>
      <c r="L34" s="5">
        <v>1</v>
      </c>
      <c r="M34" s="38">
        <v>2</v>
      </c>
      <c r="N34" s="36"/>
      <c r="O34" s="42"/>
      <c r="P34" s="9"/>
      <c r="Q34" s="9" t="s">
        <v>187</v>
      </c>
      <c r="R34" s="9" t="s">
        <v>188</v>
      </c>
      <c r="S34" s="22"/>
    </row>
  </sheetData>
  <autoFilter ref="A6:U24"/>
  <mergeCells count="1">
    <mergeCell ref="A4:S4"/>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B2:D11"/>
  <sheetViews>
    <sheetView showGridLines="0" workbookViewId="0">
      <selection activeCell="F21" sqref="F21"/>
    </sheetView>
  </sheetViews>
  <sheetFormatPr baseColWidth="10" defaultColWidth="9" defaultRowHeight="14.25"/>
  <cols>
    <col min="2" max="2" width="3.625" customWidth="1"/>
    <col min="3" max="3" width="14.5" bestFit="1" customWidth="1"/>
    <col min="4" max="6" width="20.75" customWidth="1"/>
    <col min="7" max="7" width="20.75" bestFit="1" customWidth="1"/>
  </cols>
  <sheetData>
    <row r="2" spans="2:4" ht="15">
      <c r="B2" s="32" t="s">
        <v>144</v>
      </c>
    </row>
    <row r="4" spans="2:4">
      <c r="C4" s="31" t="s">
        <v>18</v>
      </c>
      <c r="D4" t="s">
        <v>145</v>
      </c>
    </row>
    <row r="5" spans="2:4">
      <c r="C5" t="s">
        <v>54</v>
      </c>
      <c r="D5" s="33">
        <v>0.375</v>
      </c>
    </row>
    <row r="6" spans="2:4">
      <c r="C6" t="s">
        <v>113</v>
      </c>
      <c r="D6" s="33">
        <v>0.1875</v>
      </c>
    </row>
    <row r="7" spans="2:4">
      <c r="C7" t="s">
        <v>2</v>
      </c>
      <c r="D7" s="33">
        <v>0.1875</v>
      </c>
    </row>
    <row r="8" spans="2:4">
      <c r="C8" t="s">
        <v>34</v>
      </c>
      <c r="D8" s="33">
        <v>0.125</v>
      </c>
    </row>
    <row r="9" spans="2:4">
      <c r="C9" t="s">
        <v>133</v>
      </c>
      <c r="D9" s="33">
        <v>6.25E-2</v>
      </c>
    </row>
    <row r="10" spans="2:4">
      <c r="C10" t="s">
        <v>92</v>
      </c>
      <c r="D10" s="33">
        <v>6.25E-2</v>
      </c>
    </row>
    <row r="11" spans="2:4">
      <c r="C11" t="s">
        <v>192</v>
      </c>
      <c r="D11" s="3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C10"/>
  <sheetViews>
    <sheetView workbookViewId="0">
      <selection activeCell="C7" sqref="C7"/>
    </sheetView>
  </sheetViews>
  <sheetFormatPr baseColWidth="10" defaultRowHeight="14.25"/>
  <sheetData>
    <row r="1" spans="1:3" ht="28.5">
      <c r="A1" s="1" t="s">
        <v>113</v>
      </c>
      <c r="B1" s="43">
        <f>14/26</f>
        <v>0.53846153846153844</v>
      </c>
      <c r="C1">
        <v>14</v>
      </c>
    </row>
    <row r="2" spans="1:3" ht="28.5">
      <c r="A2" s="1" t="s">
        <v>189</v>
      </c>
      <c r="B2" s="43">
        <f>2/26</f>
        <v>7.6923076923076927E-2</v>
      </c>
      <c r="C2">
        <v>2</v>
      </c>
    </row>
    <row r="3" spans="1:3">
      <c r="A3" s="1" t="s">
        <v>2</v>
      </c>
      <c r="B3" s="43">
        <f>5/26</f>
        <v>0.19230769230769232</v>
      </c>
      <c r="C3">
        <v>5</v>
      </c>
    </row>
    <row r="4" spans="1:3" ht="42.75">
      <c r="A4" s="1" t="s">
        <v>138</v>
      </c>
      <c r="B4" s="43">
        <f>4/26</f>
        <v>0.15384615384615385</v>
      </c>
      <c r="C4" s="44">
        <v>4</v>
      </c>
    </row>
    <row r="5" spans="1:3" ht="28.5">
      <c r="A5" s="1" t="s">
        <v>190</v>
      </c>
      <c r="B5" s="43">
        <f>1/26</f>
        <v>3.8461538461538464E-2</v>
      </c>
      <c r="C5" s="44">
        <v>1</v>
      </c>
    </row>
    <row r="6" spans="1:3" ht="42.75">
      <c r="A6" s="1" t="s">
        <v>191</v>
      </c>
      <c r="B6" s="43">
        <f>1/26</f>
        <v>3.8461538461538464E-2</v>
      </c>
      <c r="C6">
        <v>1</v>
      </c>
    </row>
    <row r="7" spans="1:3">
      <c r="A7" s="1"/>
    </row>
    <row r="8" spans="1:3">
      <c r="A8" s="1"/>
    </row>
    <row r="9" spans="1:3">
      <c r="A9" s="1"/>
    </row>
    <row r="10" spans="1:3">
      <c r="A10"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Incident Repartition</vt:lpstr>
      <vt:lpstr>Process Safety Chart</vt:lpstr>
      <vt:lpstr>Incident Lists</vt:lpstr>
      <vt:lpstr>data analysis</vt:lpstr>
      <vt:lpstr>Incidents breakdown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Achraf Ben Dhifallah</dc:creator>
  <cp:keywords/>
  <dc:description/>
  <cp:lastModifiedBy>win10</cp:lastModifiedBy>
  <cp:revision/>
  <dcterms:created xsi:type="dcterms:W3CDTF">2024-06-27T17:47:17Z</dcterms:created>
  <dcterms:modified xsi:type="dcterms:W3CDTF">2026-03-23T19:09:29Z</dcterms:modified>
  <cp:category/>
  <cp:contentStatus/>
</cp:coreProperties>
</file>