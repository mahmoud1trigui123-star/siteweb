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win10\Downloads\"/>
    </mc:Choice>
  </mc:AlternateContent>
  <bookViews>
    <workbookView xWindow="0" yWindow="0" windowWidth="20490" windowHeight="7050" activeTab="2"/>
  </bookViews>
  <sheets>
    <sheet name="Incidents Breakdown" sheetId="1" r:id="rId1"/>
    <sheet name="Process Safety Chart" sheetId="5" r:id="rId2"/>
    <sheet name="Incident Lists" sheetId="4" r:id="rId3"/>
  </sheets>
  <definedNames>
    <definedName name="_xlnm._FilterDatabase" localSheetId="2" hidden="1">'Incident Lists'!$A$6:$U$33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5" i="1"/>
  <c r="B6" i="1"/>
  <c r="B4" i="1"/>
  <c r="B3" i="1"/>
  <c r="B1" i="1"/>
</calcChain>
</file>

<file path=xl/comments1.xml><?xml version="1.0" encoding="utf-8"?>
<comments xmlns="http://schemas.openxmlformats.org/spreadsheetml/2006/main">
  <authors>
    <author>Jean Paul Vander Ende</author>
  </authors>
  <commentList>
    <comment ref="F6" authorId="0" shapeId="0">
      <text>
        <r>
          <rPr>
            <b/>
            <sz val="9"/>
            <color indexed="81"/>
            <rFont val="Tahoma"/>
            <family val="2"/>
          </rPr>
          <t>JPVDE:
Env
Sec
Injury/Illness
Asset Damage
Transportation</t>
        </r>
        <r>
          <rPr>
            <sz val="9"/>
            <color indexed="81"/>
            <rFont val="Tahoma"/>
            <family val="2"/>
          </rPr>
          <t xml:space="preserve">
</t>
        </r>
      </text>
    </comment>
    <comment ref="I6" authorId="0" shapeId="0">
      <text>
        <r>
          <rPr>
            <b/>
            <sz val="9"/>
            <color indexed="81"/>
            <rFont val="Tahoma"/>
            <family val="2"/>
          </rPr>
          <t>JPVDE:</t>
        </r>
        <r>
          <rPr>
            <sz val="9"/>
            <color indexed="81"/>
            <rFont val="Tahoma"/>
            <family val="2"/>
          </rPr>
          <t xml:space="preserve">
FAC
MTC
RWC
LTI
FAT
HiPo
N/A</t>
        </r>
      </text>
    </comment>
  </commentList>
</comments>
</file>

<file path=xl/sharedStrings.xml><?xml version="1.0" encoding="utf-8"?>
<sst xmlns="http://schemas.openxmlformats.org/spreadsheetml/2006/main" count="238" uniqueCount="147">
  <si>
    <t>Security</t>
  </si>
  <si>
    <t>PSE Tier 1</t>
  </si>
  <si>
    <t>PSE Tier 2</t>
  </si>
  <si>
    <t>PSE Tier 3</t>
  </si>
  <si>
    <t>PSE Tier 4</t>
  </si>
  <si>
    <t>Asset Integrity (Facility)</t>
  </si>
  <si>
    <t>Asset Integrity (Pipeline)</t>
  </si>
  <si>
    <t>Asset Integrity (Structure)</t>
  </si>
  <si>
    <t>Asset Integrity (Well)</t>
  </si>
  <si>
    <t>N°</t>
  </si>
  <si>
    <t>Reported by</t>
  </si>
  <si>
    <t>Site</t>
  </si>
  <si>
    <t>Location on site</t>
  </si>
  <si>
    <t>Date/ Time Occurred</t>
  </si>
  <si>
    <t>PEAR Class</t>
  </si>
  <si>
    <t>Sub category</t>
  </si>
  <si>
    <t>Brief Decription including injury, damage, loss or spill info</t>
  </si>
  <si>
    <t>Inc Type if injury</t>
  </si>
  <si>
    <t>If Asset integrity incident
(Facility/Pipeline/Structure/Well)</t>
  </si>
  <si>
    <t>Damaged zone</t>
  </si>
  <si>
    <t>PSE Tiers (1/2/3/4)</t>
  </si>
  <si>
    <t>Act Sev</t>
  </si>
  <si>
    <t>Potl Sev</t>
  </si>
  <si>
    <t>Investigation Done?</t>
  </si>
  <si>
    <t>Immediate Causes</t>
  </si>
  <si>
    <t>Root Causes</t>
  </si>
  <si>
    <t>CA's Taken</t>
  </si>
  <si>
    <t>Suggestions/recommendations</t>
  </si>
  <si>
    <t>Injury/Illness</t>
  </si>
  <si>
    <t>LTI</t>
  </si>
  <si>
    <t>Asset damage</t>
  </si>
  <si>
    <t>Pipeline</t>
  </si>
  <si>
    <t>PSE
(Tier 3)</t>
  </si>
  <si>
    <t xml:space="preserve">GUEBIBA </t>
  </si>
  <si>
    <t>El-HAJEB</t>
  </si>
  <si>
    <t xml:space="preserve">W.AGREBI </t>
  </si>
  <si>
    <t>TANK BATTERY</t>
  </si>
  <si>
    <t>UNREPORTED</t>
  </si>
  <si>
    <t>GUEBIBA</t>
  </si>
  <si>
    <t>Process Safety</t>
  </si>
  <si>
    <t>Near Miss</t>
  </si>
  <si>
    <t>Medical Treatment Case</t>
  </si>
  <si>
    <t>Load out Station</t>
  </si>
  <si>
    <t>GUEBIBA BASE</t>
  </si>
  <si>
    <t xml:space="preserve">At approximately 10:30 AM, a technician  was attacked and bitten on the leg by a stray dog near the water storage tanks area.
The control room operator promptly followed the ERP </t>
  </si>
  <si>
    <t>S.HADJ KACEM</t>
  </si>
  <si>
    <t>Water storage tanks area</t>
  </si>
  <si>
    <t>Transporting stray dogs away from the TPS site has been assigned to one of TPS contractors and they are currently implementing this task. However, given the increasing presence of stray dogs onsite, it is highly recommended to implement two additional actions:
- Prohibit feeding stray dogs with food residues.
- It is important to note that gates must remain closed at all times. Brief awareness training can be provided to security personnel.
- Identify and seal all voids and gaps that could serve as points of entry, such as spaces beneath escape doors. These areas need to be reinforced, with concrete being one viable solution, to prevent dogs from digging and gaining access.</t>
  </si>
  <si>
    <t xml:space="preserve"> An overflow occurred at a pits in the produced water unloading station. This incident was caused by heavy rainfall, which led to a rapid accumulation of water exceeding the drainage system’s capacity.
The overflowed water was mixed with a non-significant amount of crude oil, requiring a prompt intervention to limit environmental and operational impact.
Actions Taken:
* Immediate deployment of containment barriers to limit the spread.
* Team intervention to pump and recover the overflowed water.    
* Enhanced monitoring of weather conditions to anticipate future similar incidents.</t>
  </si>
  <si>
    <t>MTC</t>
  </si>
  <si>
    <t>* Study of drainage capacity reinforcement in case of heavy rainfall.
* Awareness training for teams on emergency procedures in case of overflow.                                                                                                                                                                    * The incident was brought under control with no major impact on operations. However, preventive measures must be implemented to prevent such a situation from recurring in the event of extreme weather conditions.</t>
  </si>
  <si>
    <t>Presence of uncontrolled stary dogs on site</t>
  </si>
  <si>
    <t>Heavy water rain and pump malfunction.</t>
  </si>
  <si>
    <t>In the morning of March 16th, “a group of illegal immigrants” was discovered during the daily sealine patrol survey conducted by Farjallah boat. The group was found approximately 10 to 15 km away from Delta Platform, near our 6” sealine, specifically at 34°43.286'N, 01°05.4460'E.
Among those discovered, there were both survivors and deceased people. The National Maritime Guard was notified and promptly intervened. Currently, the necessary operations are being carried out under their oversight.</t>
  </si>
  <si>
    <t>I have been informed that ONAS is conducting repair works on an underground pipeline at El Ain Road km 6 (Merkez Ben Hlima). During these operations, the SONEDE underground pipeline was accidentally damaged causing water to flood the trench which was excavated using a backhoe loader.
Within this trench, TPS has a 10”x14” pipeline (not in service) located between the ONAS and SONEDE lines, with the ONAS line positioned underneath our asset. Due to the flooding, it is unclear whether our pipeline has been affected or not. The incident coordinator has informed key stakeholders including the regional directorate of ONAS.
Given the lack of prior notification and the risk posed to TPS assets, it is critical that these ongoing works be closely monitored to prevent any potential damage. Additionally, we need to formally inform ONAS about this event and kindly remind them that any future operations of this nature should be preceded by an official notification to TPS.</t>
  </si>
  <si>
    <t xml:space="preserve">Mohamed Ben Hamouda </t>
  </si>
  <si>
    <t>Corrosion observed on the connection used on the truck tanker</t>
  </si>
  <si>
    <t xml:space="preserve">Assumption provided that it is confirmed: Lack of maintenance and inspection. The contractor did not use the adequate connection </t>
  </si>
  <si>
    <t>-Transferred the injured employee to a safe area and continuously applied water to the injured leg
'-Informed the Tank Battery (TB) control room, the Alwaheb Representative, and Civil Protection
'-The TB control room notified the Incident Coordinator
'-The injured employee was transferred to the hospital for further medical care by Civil Protection
'-Requested the Alwaheb representative to immediately replace the inadequate connection</t>
  </si>
  <si>
    <t>Replace the current connection with an adequate, fit-for-purpose one, copper material type as discussed in previous meetings  and noted during the audit.
Ensure that double block and bleed valve arrangement is in place and implemented before every operation of hose disconnection.
Formal request to be submitted to the contractor to equip all his conveyors with adequate PPE, specifically high-leg safety footwear (boots) that fits the work environment.</t>
  </si>
  <si>
    <t>Abdekader KARRA</t>
  </si>
  <si>
    <t>G#7</t>
  </si>
  <si>
    <t>On May 8th at 14:00, the SS+ team arrived at Gueb #7 to conduct a scheduled inspection of portable fire extinguishers. Upon arrival, they used the car horn multiple times to signal the watchman to open the gate, but received no response.
At 14:14, the HSSE Technician was informed of the situation. He immediately notified the Crew Chief and the Tiger Security Team, who were dispatched to Gueb #7 to investigate.
Upon arrival, the security team found the watchman unconscious. They promptly alerted the Security Coordinator (Anis Masmoudi) and the Guebiba Control Room. The Control Room then informed the TB Control Room and the Incident Coordinator (Anis Masmoudi). Meanwhile, the Civil Protection team was also notified.
The HSSE Technician and the Production Foreman were immediately dispatched to the scene. Upon arrival, the HSSE Technician administered first aid to the unconscious watchman. At 15:45, the Civil Protection team arrived on site, took over the emergency response, and proceeded with the MEDEVAC.</t>
  </si>
  <si>
    <t>It appears that the casualty has medical troubles pending confirmation by a physician (report from the hospital or occupational medical body)</t>
  </si>
  <si>
    <t xml:space="preserve">Contractor must send the planning of watchmen assignment at TPS sites to TPS in advance, specifically to HSSE Dept, for validation.
Coordination with the company doctor is required to verify and approve the medical fitness of each employee assigned to this position.
A medical fitness certificate must be provided for the watchman before he resumes duty. It is strongly recommended to organize an SQM with the contractor to agree on the corrective actions.
Standardize this action regarding the provision of medical fitness certificates to cover the rest of watchmen and all contractors as per the applicable Tunisian regulations. </t>
  </si>
  <si>
    <t>April</t>
  </si>
  <si>
    <r>
      <rPr>
        <sz val="7"/>
        <color theme="1"/>
        <rFont val="Times New Roman"/>
        <family val="1"/>
      </rPr>
      <t xml:space="preserve"> </t>
    </r>
    <r>
      <rPr>
        <sz val="11"/>
        <color theme="1"/>
        <rFont val="Arial"/>
        <family val="2"/>
      </rPr>
      <t>Unignited gas release following inadvertent shut off of the flare at Guebiba; The flaring process has been restored at the same day.</t>
    </r>
  </si>
  <si>
    <t>Asset Damage</t>
  </si>
  <si>
    <t>Other LOPC not counted as Tier 1 or Tier 2 PSE’s. Release of produced water from a punctured spool of the charging pump upstream the SWDW at Tank Battery. This is considered as PSE Tier 3</t>
  </si>
  <si>
    <t>PSE Tier 3 – LOPC: Release of produced water from a punctured spool of the water injection pump upstream the SWDW at Tank Battery. A clamp has been inserted as a temporary solution.</t>
  </si>
  <si>
    <t>May</t>
  </si>
  <si>
    <t>June</t>
  </si>
  <si>
    <t>PSE
(Tier 1)</t>
  </si>
  <si>
    <t>At 08:00, after completing the loading of production water using Cistern No. 89719, the Alwaheb conveyor disconnected the truck tanker’s connection from the TPS process. This resulted in the spillage of approximately 2 liters of production water, which came into contact with and caused burns to the leg of the casualty.
The production team immediately transferred the injured employee to a safe area, and continuously applied water to the affected leg to reduce potential chemical or thermal impact.
At 08:45, Civil Protection arrived on site and transferred the injured employee to the hospital for further medical care.</t>
  </si>
  <si>
    <t>On 15 July 2025 at 10:00, the watchman Aymen Elmanaa (Tiger Company) informed watchman Gueb 14, who then informed the production foreman, that the connection for the WC and heating system (copper and multilayer pipes) was not found.     The production foreman moved to Guebiba cluster and assess the situation.                                                                                                The crew chief inform control room tank battery</t>
  </si>
  <si>
    <t>GUEBIBA 14</t>
  </si>
  <si>
    <t>Fire erupted in the neighbor’s land near water unloading station of Tank Battery site. Information was conveyed to key stakeholders inc. fire brigade. ERT intervened using TPS site resources until the arrival of the Fire Brigade who controlled the situation. NTR in terms of P,E,A,R at TPS level. Immediate action: Inform all landowners around Tank Battery site to remove any rubbish and plow their lands regularly</t>
  </si>
  <si>
    <t>Fire</t>
  </si>
  <si>
    <t>leak was observed in the main cooling system of the WAUKESHA gas generator (Old Unit) on the Delta platform. The operator identified the issue before the Low Safety Level (LSL) Water alarm was triggered. The leak occurred at a rubber sleeve component, which serves as a flexible protective joint within the cooling network. Replacement of the damaged rubber sleeve was done.</t>
  </si>
  <si>
    <t>CERCINA</t>
  </si>
  <si>
    <t>OFFSITE</t>
  </si>
  <si>
    <t>DELTA</t>
  </si>
  <si>
    <t>MEDEVAC of Cleaning Maid from TPS Main Office to the Clinic. The patient was medically treated at the clinic and release after healing.</t>
  </si>
  <si>
    <t>MAIN OFFICE</t>
  </si>
  <si>
    <t>FIRST FLOOR</t>
  </si>
  <si>
    <t xml:space="preserve">MEDEVAC of a Guard Agent from Guebiba Site to the Clinic. </t>
  </si>
  <si>
    <t>Road accident: On 22 August 2025 at approximately 13:00, after a routine site tour, Production Operator Mohsen Hamdi went to collect his lunch along Gabes Road using TPS car. While on road, two other vehicles collided, and one struck the TPS car, overturning it. The operator sustained a minor head injury and was transported to a clinic for medical evaluation. The TPS vehicle sustained severe damage.</t>
  </si>
  <si>
    <t>When water start loading by truck using cistern n° 116201 at 08:30 the pumper detects a leak from tanker. Immediately inform the crew chief and proceed to discharge 70 bbls water process.</t>
  </si>
  <si>
    <t>Environmental</t>
  </si>
  <si>
    <t>TPS INCIDENT REPORTING DATABASE 2025</t>
  </si>
  <si>
    <t>Leak from tanker</t>
  </si>
  <si>
    <t>Corrosion in the truck tanker</t>
  </si>
  <si>
    <t>Lack of inspection from service provider (Alwaheb company)</t>
  </si>
  <si>
    <t>Discharge 70 bbls water from truck tanker and ensure that are free from water process</t>
  </si>
  <si>
    <t>YES</t>
  </si>
  <si>
    <t>Road accident</t>
  </si>
  <si>
    <t>While transiting toward the Delta Platform at around 07:00 AM, the crew observed the Delta East Buoy adrift in the navigation path. The buoy was safely recovered and placed on the barge deck. A preliminary visual inspection showed that the anchor point was broken, causing the buoy to drift, while the anchor chain appeared to be in acceptable condition. A detailed inspection will be carried out to verify the integrity of the chain and all associated components.</t>
  </si>
  <si>
    <t>Hbib Chouaikh</t>
  </si>
  <si>
    <t xml:space="preserve">The Buoy anchor point was damaged </t>
  </si>
  <si>
    <t>Equipment aging.
Bad weather conditions</t>
  </si>
  <si>
    <t>The buoy was retrieved and secured on the barge.
A visual inspection was conducted to assess damage.
Informed the incident coordinator.
Suggestions:
Repair the buoy and redeploy it once the anchoring system is fully inspected and tested.
Conduct a systematic inspection of all other buoys in the area to ensure their structural and functional integrity (by Divers).
Implement a periodic inspection schedule for all navigation buoys and mooring systems.
NB:
Regulatory Reference:
1-As per SOLAS Chapter V, Regulation 22, coastal States are required to ensure that aids to navigation (including buoys) are maintained in proper working condition. Although SOLAS does not prescribe a specific time interval for inspections, international best practices recommend that floating navigational aids be inspected at least once every 12 months.
2-Additionally, organizations like the IALA (International Association of Marine Aids to Navigation and Lighthouse Authorities) suggest: Buoy systems should be inspected and serviced annually or as defined by risk-based maintenance programs.</t>
  </si>
  <si>
    <t>Lost Time Injury</t>
  </si>
  <si>
    <t xml:space="preserve"> Road Traffic Incident</t>
  </si>
  <si>
    <t>Road Traffic incident</t>
  </si>
  <si>
    <t>During daily routine inspection the production operator noticed a damage in grating fence close the public road.
He informed the crew chief who notified the foreman.
A site visit was held by production foreman, HSE technician, construction crew chief and ACOSERV representative and noticed the high risk of collapse of the fence adjacent to public road.A temporary corrective action will be implemented (reinforcement of the fence structure)</t>
  </si>
  <si>
    <t>MOHAMED BEN HAMMOUDA</t>
  </si>
  <si>
    <t>Corrosion in the truck tanker (repeated incident).</t>
  </si>
  <si>
    <t>LACK OF INSPECTION FROM SERVICE PROVIDER (ALWAHEB COMPANY)</t>
  </si>
  <si>
    <t xml:space="preserve">During the water loading operation using cistern no. 116201, a sudden puncture occurred in the tanker, resulting in a production water leak (02 L). The pumper promptly notified the crew chief of the incident.
The service provider, ALWAHEB, was contacted to supply a replacement truck equipped with a pump for emergency use. However, they were unable to provide one as per usual protocol.
Consequently, the production team contacted TEPS Company, which responded by dispatching a tanker truck. A total of 70 barrels of production water were successfully discharged using the TEPS Vacuum truck </t>
  </si>
  <si>
    <t>Discharge 70 barrels of water from the truck tanker by TEPS Company and ensure they are free from processed water.
Recommendations:
-After the incident, the service provider must reinspect the tanker before returning it to service.
-Ensure proper coating and sealing of the tanker interiors to resist chemical and water-induced corrosion .                                                                                                                                                                                                       -Conduct regular inspections of truck tankers to identify and address corrosion or damage early (including thickness measurements).
-Revise agreements with service providers to ensure they have a backup fleet and equipment available for emergencies.
-Develop and enforce a standard list of required items for stop kits to ensure uniformity across all trucks in the fleet.
-Develop and communicate clear procedures for addressing leaks using stop kits to minimize response time and reduce environmental risks.</t>
  </si>
  <si>
    <t>ABDELKADER KARRA</t>
  </si>
  <si>
    <t>ELHAJEB Junk yard</t>
  </si>
  <si>
    <t>At 17:00, the Elhajeb guard informed the Guebiba control room upon detecting a fire outside the junkyard fence. The control room then informed the incident coordinator and civil protection, who arrived at 18:00. As there was no key for the junkyard door, we were obliged to break the padlock to allow the fire brigade to access the site.</t>
  </si>
  <si>
    <t>Someone cuts a tree and burn it</t>
  </si>
  <si>
    <t>Burning tree firewood</t>
  </si>
  <si>
    <t>Place the key in a glass box inside the watchman’s cabin to allow access to the junkyard in case of an emergency, such as a fire</t>
  </si>
  <si>
    <t>GUEBIBA CLUSTER</t>
  </si>
  <si>
    <t>GUEBIBA#9</t>
  </si>
  <si>
    <t>Asset Damage Incident: At 03:32 on 01 October, the Control Room HMI displayed an H₂S alarm (20 ppm) from Detector AAH92, located in the Gue#9 well area. As a result, all Guebiba Cluster wells were automatically shut down. The Production Crew immediately notified the Maintenance Team, who intervened, conducted an inspection, and confirmed that the alarm was false, caused by a sensor malfunction.</t>
  </si>
  <si>
    <t xml:space="preserve"> False detection (faulty alarm), not an actual H2S leak.</t>
  </si>
  <si>
    <t xml:space="preserve">
The Production Crew notified the Maintenance Team.
The Maintenance Team intervened and conducted an investigation at Gue#9 well area.
The alarm was identified as a false detection (faulty alarm), not an actual H2S leak.
All wells resumed production.</t>
  </si>
  <si>
    <t>Two former drivers in CERCINA, who were previously providing employee transportation services through “Mabrouk Rent a Car” company, prevented TPS CERCINA driver from using the company car. They stated that they would resume their work and would not allow anyone else to use the vehicle</t>
  </si>
  <si>
    <t>SABRI EZZEDDINE</t>
  </si>
  <si>
    <t xml:space="preserve">Heavy crude oil tank T1B </t>
  </si>
  <si>
    <t>Corrosion</t>
  </si>
  <si>
    <t>To be defined</t>
  </si>
  <si>
    <t>No access to the top of the tank</t>
  </si>
  <si>
    <t>Detection of gas leak on Delta WGG 6cylinders (old one) by OGI camera</t>
  </si>
  <si>
    <t>During the gas leak detection using the infrared camera we found a gas cloud emission from the roof of the heavy crude oil tank T1B.</t>
  </si>
  <si>
    <t>During the methane and VOC detection It turned out that the rupture disc of the TD oil tank was found punctured, The crew chief inform production foreman</t>
  </si>
  <si>
    <t>ABDELHAMID AFFES</t>
  </si>
  <si>
    <t>TD OIL TANK</t>
  </si>
  <si>
    <t xml:space="preserve">The crew chief inform production foreman and try to minimize the leak,            </t>
  </si>
  <si>
    <t xml:space="preserve">    The rupture disc must be changed ASAP,     </t>
  </si>
  <si>
    <t>REJEB Hafedheddine</t>
  </si>
  <si>
    <t>ELAIN</t>
  </si>
  <si>
    <t>ELAIN#3 4" Pipeline down stream pig launcher</t>
  </si>
  <si>
    <t>An incident occurred at El Ain site involving a sudden release of H2S gas from the last 4” flange downstream of the pig launcher on the pipeline connecting El Ain 3 well to the CPF Tank Battery.
The loss of primary containment exceeded the high alarm threshold of 20 ppm, as detected by Fixed H2S Sensor No. 8 installed near the leak source. This detection automatically triggered the shut-in of the ESP pump at El Ain 3 well.
The assistant operator on site immediately assessed the situation and informed Tank Battery Control Room, which promptly escalated the notification to the Incident Coordinator and the Tank Battery Production Crew Chief, in accordance with the emergency communication protocol.</t>
  </si>
  <si>
    <t>yes</t>
  </si>
  <si>
    <t>Metal loss caused probably by corrosion.</t>
  </si>
  <si>
    <t>- Tank Battery production team led by the crew chied headed towards El Ain site to support the assistant operator. The production foreman has visted the site to support the team 
'- The HSSE Technician was mobilized to conduct continuous gas monitoring using a portable multi-gas detector.
'- Depressurization and reduction of liquid levels in Separator V10.
'- Automatic shut-in of the SDV at the 4” Pig Receiver at the Tank Battery.
'- Attempted to stop the leak by tightening the flange bolts, which proved unsuccessful.
'- Installation of a temporary secondary containment beneath the leak location.
'- Completed pressure reduction along the pipeline, which successfully stopped the gas release.
'- The well was kept shut-in pending implementation of permanent corrective actions (expeced to restart the well 1 day after the event).</t>
  </si>
  <si>
    <t>- Integrity &amp; Corrosion Management Review:
'- Strengthening Preventive Maintenance &amp; Inspection Program
'- Enhancement of Secondary Containment &amp; Emergency Response Preparedness.O7y</t>
  </si>
  <si>
    <t>Near miss</t>
  </si>
  <si>
    <t>a mobile scaffold erected inside Tank T1B partially tilted and leaned against the tank side shell while being moved by the INAP painting contractor team, due to one wheel becoming trapped in a drain pit</t>
  </si>
  <si>
    <t>PSE 
(Tier 2)</t>
  </si>
  <si>
    <t>Facility</t>
  </si>
  <si>
    <t>Process Safety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</si>
</sst>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15">
    <font>
      <sz val="11"/>
      <color theme="1"/>
      <name val="Aptos Narrow"/>
      <family val="2"/>
      <scheme val="minor"/>
    </font>
    <font>
      <b/>
      <sz val="11"/>
      <color theme="1"/>
      <name val="Aptos Narrow"/>
      <family val="2"/>
      <scheme val="minor"/>
    </font>
    <font>
      <b/>
      <sz val="18"/>
      <color theme="0"/>
      <name val="Aptos Narrow"/>
      <family val="2"/>
      <scheme val="minor"/>
    </font>
    <font>
      <sz val="12"/>
      <color theme="1"/>
      <name val="Aptos Narrow"/>
      <family val="2"/>
      <scheme val="minor"/>
    </font>
    <font>
      <b/>
      <sz val="9"/>
      <color indexed="81"/>
      <name val="Tahoma"/>
      <family val="2"/>
    </font>
    <font>
      <sz val="9"/>
      <color indexed="81"/>
      <name val="Tahoma"/>
      <family val="2"/>
    </font>
    <font>
      <sz val="12"/>
      <color rgb="FF0070C0"/>
      <name val="Aptos Narrow"/>
      <family val="2"/>
      <scheme val="minor"/>
    </font>
    <font>
      <sz val="11"/>
      <name val="Aptos Narrow"/>
      <family val="2"/>
      <scheme val="minor"/>
    </font>
    <font>
      <b/>
      <sz val="11"/>
      <color rgb="FF0070C0"/>
      <name val="Aptos Narrow"/>
      <family val="2"/>
      <scheme val="minor"/>
    </font>
    <font>
      <sz val="8"/>
      <name val="Aptos Narrow"/>
      <family val="2"/>
      <scheme val="minor"/>
    </font>
    <font>
      <sz val="7"/>
      <color theme="1"/>
      <name val="Times New Roman"/>
      <family val="1"/>
    </font>
    <font>
      <sz val="11"/>
      <color theme="1"/>
      <name val="Arial"/>
      <family val="2"/>
    </font>
    <font>
      <b/>
      <sz val="11"/>
      <color rgb="FF00B050"/>
      <name val="Aptos Narrow"/>
      <family val="2"/>
      <scheme val="minor"/>
    </font>
    <font>
      <b/>
      <sz val="12"/>
      <color theme="1"/>
      <name val="Aptos Narrow"/>
      <family val="2"/>
      <scheme val="minor"/>
    </font>
    <font>
      <sz val="11"/>
      <color theme="1"/>
      <name val="Aptos Narrow"/>
      <family val="2"/>
      <scheme val="minor"/>
    </font>
  </fonts>
  <fills count="9">
    <fill>
      <patternFill patternType="none"/>
    </fill>
    <fill>
      <patternFill patternType="gray125"/>
    </fill>
    <fill>
      <patternFill patternType="solid">
        <fgColor rgb="FF002060"/>
        <bgColor indexed="64"/>
      </patternFill>
    </fill>
    <fill>
      <patternFill patternType="solid">
        <fgColor rgb="FFBDDFFB"/>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4" fillId="0" borderId="0" applyFont="0" applyFill="0" applyBorder="0" applyAlignment="0" applyProtection="0"/>
  </cellStyleXfs>
  <cellXfs count="32">
    <xf numFmtId="0" fontId="0" fillId="0" borderId="0" xfId="0"/>
    <xf numFmtId="0" fontId="0" fillId="0" borderId="0" xfId="0" applyAlignment="1">
      <alignment horizontal="center" wrapText="1"/>
    </xf>
    <xf numFmtId="0" fontId="0" fillId="0" borderId="0" xfId="0"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4" borderId="1" xfId="0" applyFill="1" applyBorder="1" applyAlignment="1">
      <alignment horizontal="center" vertical="center"/>
    </xf>
    <xf numFmtId="0" fontId="7" fillId="4" borderId="1" xfId="0" applyFont="1" applyFill="1" applyBorder="1" applyAlignment="1">
      <alignment horizontal="center" vertical="center" wrapText="1"/>
    </xf>
    <xf numFmtId="0" fontId="6" fillId="0" borderId="1" xfId="0" applyFont="1" applyBorder="1" applyAlignment="1">
      <alignment vertical="center" wrapText="1"/>
    </xf>
    <xf numFmtId="0" fontId="0" fillId="5" borderId="1" xfId="0" applyFill="1" applyBorder="1" applyAlignment="1">
      <alignment horizontal="center" vertical="center"/>
    </xf>
    <xf numFmtId="0" fontId="0" fillId="4" borderId="1" xfId="0" applyFill="1" applyBorder="1" applyAlignment="1">
      <alignment horizontal="center" vertical="center" wrapText="1"/>
    </xf>
    <xf numFmtId="0" fontId="0" fillId="0" borderId="1" xfId="0" quotePrefix="1" applyBorder="1" applyAlignment="1">
      <alignment vertical="center" wrapText="1"/>
    </xf>
    <xf numFmtId="0" fontId="3" fillId="0" borderId="1" xfId="0" quotePrefix="1" applyFont="1" applyBorder="1" applyAlignment="1">
      <alignment horizontal="left" vertical="center" wrapText="1"/>
    </xf>
    <xf numFmtId="0" fontId="0" fillId="0" borderId="2" xfId="0" applyBorder="1" applyAlignment="1">
      <alignment horizontal="center" vertical="center"/>
    </xf>
    <xf numFmtId="0" fontId="0" fillId="0" borderId="0" xfId="0" applyAlignment="1">
      <alignment wrapText="1"/>
    </xf>
    <xf numFmtId="0" fontId="0" fillId="6" borderId="0" xfId="0" applyFill="1"/>
    <xf numFmtId="0" fontId="0" fillId="0" borderId="1" xfId="0" applyBorder="1"/>
    <xf numFmtId="0" fontId="0" fillId="7" borderId="1" xfId="0" applyFill="1" applyBorder="1"/>
    <xf numFmtId="0" fontId="0" fillId="0" borderId="1" xfId="0" applyBorder="1" applyAlignment="1">
      <alignment wrapText="1"/>
    </xf>
    <xf numFmtId="164" fontId="8" fillId="0" borderId="1" xfId="0" applyNumberFormat="1" applyFont="1" applyBorder="1" applyAlignment="1">
      <alignment horizontal="center" vertical="center"/>
    </xf>
    <xf numFmtId="0" fontId="11" fillId="0" borderId="1" xfId="0" applyFont="1" applyBorder="1" applyAlignment="1">
      <alignment horizontal="justify" vertical="center"/>
    </xf>
    <xf numFmtId="0" fontId="7" fillId="0" borderId="1" xfId="0" applyFont="1" applyBorder="1" applyAlignment="1">
      <alignment horizontal="center" vertical="center" wrapText="1"/>
    </xf>
    <xf numFmtId="0" fontId="6" fillId="0" borderId="1" xfId="0" quotePrefix="1" applyFont="1" applyBorder="1" applyAlignment="1">
      <alignment vertical="center" wrapText="1"/>
    </xf>
    <xf numFmtId="164" fontId="12" fillId="0" borderId="1" xfId="0" applyNumberFormat="1" applyFont="1" applyBorder="1" applyAlignment="1">
      <alignment horizontal="center" vertical="center"/>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9" fontId="0" fillId="0" borderId="0" xfId="1" applyFont="1"/>
    <xf numFmtId="0" fontId="13" fillId="0" borderId="0" xfId="0" applyFont="1" applyAlignment="1">
      <alignment horizontal="center"/>
    </xf>
    <xf numFmtId="0" fontId="0" fillId="0" borderId="0" xfId="0" applyAlignment="1">
      <alignment horizontal="center"/>
    </xf>
    <xf numFmtId="0" fontId="2" fillId="2" borderId="0" xfId="0" applyFont="1" applyFill="1" applyAlignment="1">
      <alignment horizontal="center" vertical="center"/>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r>
              <a:rPr lang="en-US"/>
              <a:t>Incidents breakdown</a:t>
            </a:r>
          </a:p>
        </c:rich>
      </c:tx>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88990815092008"/>
          <c:y val="0.19864882702041359"/>
          <c:w val="0.82575574247958794"/>
          <c:h val="0.77314814814814814"/>
        </c:manualLayout>
      </c:layout>
      <c:pie3DChart>
        <c:varyColors val="1"/>
        <c:ser>
          <c:idx val="0"/>
          <c:order val="0"/>
          <c:explosion val="5"/>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086-4101-BB4A-EC80242719D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086-4101-BB4A-EC80242719D8}"/>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086-4101-BB4A-EC80242719D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F086-4101-BB4A-EC80242719D8}"/>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086-4101-BB4A-EC80242719D8}"/>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F086-4101-BB4A-EC80242719D8}"/>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F086-4101-BB4A-EC80242719D8}"/>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F086-4101-BB4A-EC80242719D8}"/>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F086-4101-BB4A-EC80242719D8}"/>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8BBA-4EF0-A13E-1DF9EE34EEC2}"/>
              </c:ext>
            </c:extLst>
          </c:dPt>
          <c:dLbls>
            <c:dLbl>
              <c:idx val="0"/>
              <c:layout>
                <c:manualLayout>
                  <c:x val="-3.3003300330033139E-2"/>
                  <c:y val="-0.3191489361702128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F086-4101-BB4A-EC80242719D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F086-4101-BB4A-EC80242719D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F086-4101-BB4A-EC80242719D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6-F086-4101-BB4A-EC80242719D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F086-4101-BB4A-EC80242719D8}"/>
                </c:ext>
              </c:extLst>
            </c:dLbl>
            <c:dLbl>
              <c:idx val="5"/>
              <c:layout>
                <c:manualLayout>
                  <c:x val="0.15034836817015035"/>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F086-4101-BB4A-EC80242719D8}"/>
                </c:ext>
              </c:extLst>
            </c:dLbl>
            <c:dLbl>
              <c:idx val="6"/>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r>
                      <a:rPr lang="en-US"/>
                      <a:t>Lifting Ops </a:t>
                    </a:r>
                    <a:fld id="{B8DCF7D5-8E10-4D4D-9F4E-41D6888CEE08}"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9-F086-4101-BB4A-EC80242719D8}"/>
                </c:ext>
              </c:extLst>
            </c:dLbl>
            <c:dLbl>
              <c:idx val="7"/>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r>
                      <a:rPr lang="en-US"/>
                      <a:t>STF </a:t>
                    </a:r>
                    <a:fld id="{34C376FE-28BC-423F-B35F-D04F1C58E546}"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A-F086-4101-BB4A-EC80242719D8}"/>
                </c:ext>
              </c:extLst>
            </c:dLbl>
            <c:dLbl>
              <c:idx val="8"/>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r>
                      <a:rPr lang="en-US"/>
                      <a:t>Tools &amp; Eq </a:t>
                    </a:r>
                    <a:fld id="{7909035E-8FA1-40F1-BDB4-D96AB7000230}"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B-F086-4101-BB4A-EC80242719D8}"/>
                </c:ext>
              </c:extLst>
            </c:dLbl>
            <c:dLbl>
              <c:idx val="9"/>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r>
                      <a:rPr lang="en-US"/>
                      <a:t>Fire </a:t>
                    </a:r>
                    <a:fld id="{9DFD6409-DA28-413B-A586-863ED52A9F16}"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13-8BBA-4EF0-A13E-1DF9EE34EEC2}"/>
                </c:ext>
              </c:extLst>
            </c:dLbl>
            <c:spPr>
              <a:noFill/>
              <a:ln>
                <a:noFill/>
              </a:ln>
              <a:effectLst/>
            </c:sp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'Incidents Breakdown'!$A$1:$A$10</c:f>
              <c:strCache>
                <c:ptCount val="6"/>
                <c:pt idx="0">
                  <c:v>Process Safety</c:v>
                </c:pt>
                <c:pt idx="1">
                  <c:v>Asset Damage</c:v>
                </c:pt>
                <c:pt idx="2">
                  <c:v>Security</c:v>
                </c:pt>
                <c:pt idx="3">
                  <c:v>Medical Treatment Case</c:v>
                </c:pt>
                <c:pt idx="4">
                  <c:v>Lost Time Injury</c:v>
                </c:pt>
                <c:pt idx="5">
                  <c:v> Road Traffic Incident</c:v>
                </c:pt>
              </c:strCache>
            </c:strRef>
          </c:cat>
          <c:val>
            <c:numRef>
              <c:f>'Incidents Breakdown'!$B$1:$B$10</c:f>
              <c:numCache>
                <c:formatCode>0%</c:formatCode>
                <c:ptCount val="10"/>
                <c:pt idx="0">
                  <c:v>0.53846153846153844</c:v>
                </c:pt>
                <c:pt idx="1">
                  <c:v>7.6923076923076927E-2</c:v>
                </c:pt>
                <c:pt idx="2">
                  <c:v>0.19230769230769232</c:v>
                </c:pt>
                <c:pt idx="3">
                  <c:v>0.15384615384615385</c:v>
                </c:pt>
                <c:pt idx="4">
                  <c:v>3.8461538461538464E-2</c:v>
                </c:pt>
                <c:pt idx="5">
                  <c:v>3.8461538461538464E-2</c:v>
                </c:pt>
              </c:numCache>
            </c:numRef>
          </c:val>
          <c:extLst>
            <c:ext xmlns:c16="http://schemas.microsoft.com/office/drawing/2014/chart" uri="{C3380CC4-5D6E-409C-BE32-E72D297353CC}">
              <c16:uniqueId val="{0000000C-F086-4101-BB4A-EC80242719D8}"/>
            </c:ext>
          </c:extLst>
        </c:ser>
        <c:ser>
          <c:idx val="1"/>
          <c:order val="1"/>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21CC-4BB5-A08D-12773BE1B6E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21CC-4BB5-A08D-12773BE1B6E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21CC-4BB5-A08D-12773BE1B6E2}"/>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21CC-4BB5-A08D-12773BE1B6E2}"/>
              </c:ext>
            </c:extLst>
          </c:dPt>
          <c:dPt>
            <c:idx val="4"/>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21CC-4BB5-A08D-12773BE1B6E2}"/>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21CC-4BB5-A08D-12773BE1B6E2}"/>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21CC-4BB5-A08D-12773BE1B6E2}"/>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21CC-4BB5-A08D-12773BE1B6E2}"/>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21CC-4BB5-A08D-12773BE1B6E2}"/>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E-21CC-4BB5-A08D-12773BE1B6E2}"/>
              </c:ext>
            </c:extLst>
          </c:dPt>
          <c:dLbls>
            <c:dLbl>
              <c:idx val="0"/>
              <c:layout>
                <c:manualLayout>
                  <c:x val="-4.2104877268445279E-2"/>
                  <c:y val="-0.37559674677737259"/>
                </c:manualLayout>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fld id="{BA682475-50EC-444D-B2CF-4E46CB80D8E7}" type="CATEGORYNAME">
                      <a:rPr lang="en-US"/>
                      <a:pPr>
                        <a:defRPr/>
                      </a:pPr>
                      <a:t>[NOM DE CATÉGORIE]</a:t>
                    </a:fld>
                    <a:r>
                      <a:rPr lang="en-US"/>
                      <a:t>: </a:t>
                    </a:r>
                    <a:fld id="{2B8C65D3-DDEE-4EE5-95D0-25295576C6D6}"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830880479669157"/>
                      <c:h val="0.13666471194601629"/>
                    </c:manualLayout>
                  </c15:layout>
                  <c15:dlblFieldTable/>
                  <c15:showDataLabelsRange val="0"/>
                </c:ext>
                <c:ext xmlns:c16="http://schemas.microsoft.com/office/drawing/2014/chart" uri="{C3380CC4-5D6E-409C-BE32-E72D297353CC}">
                  <c16:uniqueId val="{00000015-21CC-4BB5-A08D-12773BE1B6E2}"/>
                </c:ext>
              </c:extLst>
            </c:dLbl>
            <c:dLbl>
              <c:idx val="1"/>
              <c:layout>
                <c:manualLayout>
                  <c:x val="-2.2072509088179194E-2"/>
                  <c:y val="-2.0360752778243264E-2"/>
                </c:manualLayout>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fld id="{E7132072-DED0-4B44-BA5F-C0180261B988}" type="CATEGORYNAME">
                      <a:rPr lang="en-US"/>
                      <a:pPr>
                        <a:defRPr/>
                      </a:pPr>
                      <a:t>[NOM DE CATÉGORIE]</a:t>
                    </a:fld>
                    <a:r>
                      <a:rPr lang="en-US"/>
                      <a:t>: 0</a:t>
                    </a:r>
                    <a:fld id="{3B7F6617-2C50-4A91-A241-AEC28C546081}"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6-21CC-4BB5-A08D-12773BE1B6E2}"/>
                </c:ext>
              </c:extLst>
            </c:dLbl>
            <c:dLbl>
              <c:idx val="2"/>
              <c:layout>
                <c:manualLayout>
                  <c:x val="6.3345835895925549E-3"/>
                  <c:y val="8.3979347842641529E-3"/>
                </c:manualLayout>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fld id="{45138EBD-751D-404E-B495-4B02DB1C7BB7}" type="CATEGORYNAME">
                      <a:rPr lang="en-US"/>
                      <a:pPr>
                        <a:defRPr/>
                      </a:pPr>
                      <a:t>[NOM DE CATÉGORIE]</a:t>
                    </a:fld>
                    <a:r>
                      <a:rPr lang="en-US"/>
                      <a:t>: 0</a:t>
                    </a:r>
                    <a:fld id="{607996AB-B580-47F6-A294-67D08E764DE9}"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7-21CC-4BB5-A08D-12773BE1B6E2}"/>
                </c:ext>
              </c:extLst>
            </c:dLbl>
            <c:dLbl>
              <c:idx val="3"/>
              <c:layout>
                <c:manualLayout>
                  <c:x val="1.3846443699488068E-2"/>
                  <c:y val="4.2483132548470123E-2"/>
                </c:manualLayout>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fld id="{1BE2BACF-415F-4242-A5D6-F3E7A6DEDF3E}" type="CATEGORYNAME">
                      <a:rPr lang="en-US"/>
                      <a:pPr>
                        <a:defRPr/>
                      </a:pPr>
                      <a:t>[NOM DE CATÉGORIE]</a:t>
                    </a:fld>
                    <a:r>
                      <a:rPr lang="en-US"/>
                      <a:t>:0</a:t>
                    </a:r>
                    <a:fld id="{A73992DC-707A-4984-BFE0-C551415BD033}"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1717629768226163"/>
                      <c:h val="0.1557575249902273"/>
                    </c:manualLayout>
                  </c15:layout>
                  <c15:dlblFieldTable/>
                  <c15:showDataLabelsRange val="0"/>
                </c:ext>
                <c:ext xmlns:c16="http://schemas.microsoft.com/office/drawing/2014/chart" uri="{C3380CC4-5D6E-409C-BE32-E72D297353CC}">
                  <c16:uniqueId val="{00000018-21CC-4BB5-A08D-12773BE1B6E2}"/>
                </c:ext>
              </c:extLst>
            </c:dLbl>
            <c:dLbl>
              <c:idx val="4"/>
              <c:layout>
                <c:manualLayout>
                  <c:x val="2.3882421050504001E-2"/>
                  <c:y val="1.2106362671784015E-2"/>
                </c:manualLayout>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fld id="{23ED1047-4EE4-4BE3-B05B-8416BBCCCA3E}" type="CATEGORYNAME">
                      <a:rPr lang="en-US"/>
                      <a:pPr>
                        <a:defRPr/>
                      </a:pPr>
                      <a:t>[NOM DE CATÉGORIE]</a:t>
                    </a:fld>
                    <a:r>
                      <a:rPr lang="en-US"/>
                      <a:t>: 0</a:t>
                    </a:r>
                    <a:fld id="{B8350EAB-F4B6-4219-A614-B1E1C09B2CF0}"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990757343450876"/>
                      <c:h val="8.5891500022845291E-2"/>
                    </c:manualLayout>
                  </c15:layout>
                  <c15:dlblFieldTable/>
                  <c15:showDataLabelsRange val="0"/>
                </c:ext>
                <c:ext xmlns:c16="http://schemas.microsoft.com/office/drawing/2014/chart" uri="{C3380CC4-5D6E-409C-BE32-E72D297353CC}">
                  <c16:uniqueId val="{00000019-21CC-4BB5-A08D-12773BE1B6E2}"/>
                </c:ext>
              </c:extLst>
            </c:dLbl>
            <c:dLbl>
              <c:idx val="5"/>
              <c:layout>
                <c:manualLayout>
                  <c:x val="6.5421968706056891E-2"/>
                  <c:y val="3.5841494184600232E-2"/>
                </c:manualLayout>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r>
                      <a:rPr lang="en-US"/>
                      <a:t>Road Traffic</a:t>
                    </a:r>
                  </a:p>
                  <a:p>
                    <a:pPr>
                      <a:defRPr/>
                    </a:pPr>
                    <a:r>
                      <a:rPr lang="en-US"/>
                      <a:t> Incident: 01</a:t>
                    </a:r>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01748695070001"/>
                      <c:h val="0.15995728204851656"/>
                    </c:manualLayout>
                  </c15:layout>
                </c:ext>
                <c:ext xmlns:c16="http://schemas.microsoft.com/office/drawing/2014/chart" uri="{C3380CC4-5D6E-409C-BE32-E72D297353CC}">
                  <c16:uniqueId val="{0000001A-21CC-4BB5-A08D-12773BE1B6E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21CC-4BB5-A08D-12773BE1B6E2}"/>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C-21CC-4BB5-A08D-12773BE1B6E2}"/>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21CC-4BB5-A08D-12773BE1B6E2}"/>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E-21CC-4BB5-A08D-12773BE1B6E2}"/>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'Incidents Breakdown'!$A$1:$A$10</c:f>
              <c:strCache>
                <c:ptCount val="6"/>
                <c:pt idx="0">
                  <c:v>Process Safety</c:v>
                </c:pt>
                <c:pt idx="1">
                  <c:v>Asset Damage</c:v>
                </c:pt>
                <c:pt idx="2">
                  <c:v>Security</c:v>
                </c:pt>
                <c:pt idx="3">
                  <c:v>Medical Treatment Case</c:v>
                </c:pt>
                <c:pt idx="4">
                  <c:v>Lost Time Injury</c:v>
                </c:pt>
                <c:pt idx="5">
                  <c:v> Road Traffic Incident</c:v>
                </c:pt>
              </c:strCache>
            </c:strRef>
          </c:cat>
          <c:val>
            <c:numRef>
              <c:f>'Incidents Breakdown'!$C$1:$C$10</c:f>
              <c:numCache>
                <c:formatCode>General</c:formatCode>
                <c:ptCount val="10"/>
                <c:pt idx="0">
                  <c:v>14</c:v>
                </c:pt>
                <c:pt idx="1">
                  <c:v>2</c:v>
                </c:pt>
                <c:pt idx="2">
                  <c:v>5</c:v>
                </c:pt>
                <c:pt idx="3">
                  <c:v>4</c:v>
                </c:pt>
                <c:pt idx="4">
                  <c:v>1</c:v>
                </c:pt>
                <c:pt idx="5">
                  <c:v>1</c:v>
                </c:pt>
              </c:numCache>
            </c:numRef>
          </c:val>
          <c:extLst>
            <c:ext xmlns:c16="http://schemas.microsoft.com/office/drawing/2014/chart" uri="{C3380CC4-5D6E-409C-BE32-E72D297353CC}">
              <c16:uniqueId val="{00000014-21CC-4BB5-A08D-12773BE1B6E2}"/>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r>
              <a:rPr lang="en-US"/>
              <a:t>process safety incidents breakdown</a:t>
            </a:r>
          </a:p>
        </c:rich>
      </c:tx>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endParaRPr lang="en-US"/>
        </a:p>
      </c:txPr>
    </c:title>
    <c:autoTitleDeleted val="0"/>
    <c:plotArea>
      <c:layout>
        <c:manualLayout>
          <c:layoutTarget val="inner"/>
          <c:xMode val="edge"/>
          <c:yMode val="edge"/>
          <c:x val="4.5841109590420835E-2"/>
          <c:y val="6.3694267515923567E-2"/>
          <c:w val="0.94287220869400357"/>
          <c:h val="0.80847852617148974"/>
        </c:manualLayout>
      </c:layout>
      <c:barChart>
        <c:barDir val="col"/>
        <c:grouping val="clustered"/>
        <c:varyColors val="0"/>
        <c:ser>
          <c:idx val="0"/>
          <c:order val="0"/>
          <c:spPr>
            <a:solidFill>
              <a:srgbClr val="FFFF00"/>
            </a:solidFill>
            <a:ln>
              <a:noFill/>
            </a:ln>
            <a:effectLst>
              <a:outerShdw blurRad="63500" sx="102000" sy="102000" algn="ctr" rotWithShape="0">
                <a:prstClr val="black">
                  <a:alpha val="20000"/>
                </a:prstClr>
              </a:outerShdw>
            </a:effectLst>
          </c:spPr>
          <c:invertIfNegative val="0"/>
          <c:dPt>
            <c:idx val="1"/>
            <c:invertIfNegative val="0"/>
            <c:bubble3D val="0"/>
            <c:spPr>
              <a:solidFill>
                <a:srgbClr val="FFFF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F5D9-4DC6-A750-5F24D2B9790E}"/>
              </c:ext>
            </c:extLst>
          </c:dPt>
          <c:dPt>
            <c:idx val="2"/>
            <c:invertIfNegative val="0"/>
            <c:bubble3D val="0"/>
            <c:spPr>
              <a:solidFill>
                <a:srgbClr val="FFFF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5D9-4DC6-A750-5F24D2B9790E}"/>
              </c:ext>
            </c:extLst>
          </c:dPt>
          <c:dLbls>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'Process Safety Chart'!$A$3:$A$6</c:f>
              <c:strCache>
                <c:ptCount val="4"/>
                <c:pt idx="0">
                  <c:v>PSE Tier 1</c:v>
                </c:pt>
                <c:pt idx="1">
                  <c:v>PSE Tier 2</c:v>
                </c:pt>
                <c:pt idx="2">
                  <c:v>PSE Tier 3</c:v>
                </c:pt>
                <c:pt idx="3">
                  <c:v>PSE Tier 4</c:v>
                </c:pt>
              </c:strCache>
            </c:strRef>
          </c:cat>
          <c:val>
            <c:numRef>
              <c:f>'Process Safety Chart'!$B$3:$B$6</c:f>
              <c:numCache>
                <c:formatCode>General</c:formatCode>
                <c:ptCount val="4"/>
                <c:pt idx="0">
                  <c:v>2</c:v>
                </c:pt>
                <c:pt idx="1">
                  <c:v>2</c:v>
                </c:pt>
                <c:pt idx="2">
                  <c:v>10</c:v>
                </c:pt>
                <c:pt idx="3">
                  <c:v>0.99</c:v>
                </c:pt>
              </c:numCache>
            </c:numRef>
          </c:val>
          <c:extLst>
            <c:ext xmlns:c16="http://schemas.microsoft.com/office/drawing/2014/chart" uri="{C3380CC4-5D6E-409C-BE32-E72D297353CC}">
              <c16:uniqueId val="{00000000-5B35-4EA4-BE9B-F118C42F0A24}"/>
            </c:ext>
          </c:extLst>
        </c:ser>
        <c:dLbls>
          <c:showLegendKey val="0"/>
          <c:showVal val="0"/>
          <c:showCatName val="1"/>
          <c:showSerName val="0"/>
          <c:showPercent val="0"/>
          <c:showBubbleSize val="0"/>
        </c:dLbls>
        <c:gapWidth val="150"/>
        <c:axId val="1615897647"/>
        <c:axId val="1615898127"/>
      </c:barChart>
      <c:catAx>
        <c:axId val="1615897647"/>
        <c:scaling>
          <c:orientation val="minMax"/>
        </c:scaling>
        <c:delete val="1"/>
        <c:axPos val="b"/>
        <c:numFmt formatCode="General" sourceLinked="1"/>
        <c:majorTickMark val="none"/>
        <c:minorTickMark val="none"/>
        <c:tickLblPos val="nextTo"/>
        <c:crossAx val="1615898127"/>
        <c:crosses val="autoZero"/>
        <c:auto val="1"/>
        <c:lblAlgn val="ctr"/>
        <c:lblOffset val="100"/>
        <c:noMultiLvlLbl val="0"/>
      </c:catAx>
      <c:valAx>
        <c:axId val="16158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15897647"/>
        <c:crosses val="autoZero"/>
        <c:crossBetween val="between"/>
      </c:valAx>
      <c:spPr>
        <a:noFill/>
        <a:ln>
          <a:noFill/>
        </a:ln>
        <a:effectLst/>
      </c:spPr>
    </c:plotArea>
    <c:legend>
      <c:legendPos val="b"/>
      <c:layout>
        <c:manualLayout>
          <c:xMode val="edge"/>
          <c:yMode val="edge"/>
          <c:x val="3.5718348411866135E-2"/>
          <c:y val="0.88104462761187607"/>
          <c:w val="0.9530177802266816"/>
          <c:h val="8.77541243382018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r>
              <a:rPr lang="en-US"/>
              <a:t>Process</a:t>
            </a:r>
            <a:r>
              <a:rPr lang="en-US" baseline="0"/>
              <a:t> safety chart</a:t>
            </a:r>
            <a:endParaRPr lang="en-US"/>
          </a:p>
        </c:rich>
      </c:tx>
      <c:layout/>
      <c:overlay val="0"/>
      <c:spPr>
        <a:solidFill>
          <a:sysClr val="window" lastClr="FFFFFF"/>
        </a:solidFill>
        <a:ln>
          <a:noFill/>
        </a:ln>
        <a:effectLst/>
      </c:spPr>
      <c:txPr>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67315343510178"/>
          <c:y val="0.18555909301950974"/>
          <c:w val="0.80882568149635925"/>
          <c:h val="0.75624490904154218"/>
        </c:manualLayout>
      </c:layout>
      <c:pie3DChart>
        <c:varyColors val="1"/>
        <c:ser>
          <c:idx val="0"/>
          <c:order val="0"/>
          <c:explosion val="11"/>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15B-408A-88DB-510861642E7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15B-408A-88DB-510861642E75}"/>
              </c:ext>
            </c:extLst>
          </c:dPt>
          <c:dPt>
            <c:idx val="2"/>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15B-408A-88DB-510861642E7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15B-408A-88DB-510861642E75}"/>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A15B-408A-88DB-510861642E75}"/>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A15B-408A-88DB-510861642E7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A15B-408A-88DB-510861642E7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A15B-408A-88DB-510861642E75}"/>
                </c:ext>
              </c:extLst>
            </c:dLbl>
            <c:dLbl>
              <c:idx val="2"/>
              <c:layout>
                <c:manualLayout>
                  <c:x val="0.12791572610985705"/>
                  <c:y val="-0.1386071670047329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A15B-408A-88DB-510861642E7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A15B-408A-88DB-510861642E7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A15B-408A-88DB-510861642E7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A15B-408A-88DB-510861642E75}"/>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'Process Safety Chart'!$A$3:$A$8</c:f>
              <c:strCache>
                <c:ptCount val="6"/>
                <c:pt idx="0">
                  <c:v>PSE Tier 1</c:v>
                </c:pt>
                <c:pt idx="1">
                  <c:v>PSE Tier 2</c:v>
                </c:pt>
                <c:pt idx="2">
                  <c:v>PSE Tier 3</c:v>
                </c:pt>
                <c:pt idx="3">
                  <c:v>PSE Tier 4</c:v>
                </c:pt>
                <c:pt idx="4">
                  <c:v>Asset Integrity (Facility)</c:v>
                </c:pt>
                <c:pt idx="5">
                  <c:v>Asset Integrity (Pipeline)</c:v>
                </c:pt>
              </c:strCache>
            </c:strRef>
          </c:cat>
          <c:val>
            <c:numRef>
              <c:f>'Process Safety Chart'!$B$3:$B$8</c:f>
              <c:numCache>
                <c:formatCode>General</c:formatCode>
                <c:ptCount val="6"/>
                <c:pt idx="0">
                  <c:v>2</c:v>
                </c:pt>
                <c:pt idx="1">
                  <c:v>2</c:v>
                </c:pt>
                <c:pt idx="2">
                  <c:v>10</c:v>
                </c:pt>
                <c:pt idx="3">
                  <c:v>0.99</c:v>
                </c:pt>
                <c:pt idx="4">
                  <c:v>0</c:v>
                </c:pt>
                <c:pt idx="5">
                  <c:v>0</c:v>
                </c:pt>
              </c:numCache>
            </c:numRef>
          </c:val>
          <c:extLst>
            <c:ext xmlns:c16="http://schemas.microsoft.com/office/drawing/2014/chart" uri="{C3380CC4-5D6E-409C-BE32-E72D297353CC}">
              <c16:uniqueId val="{00000014-A15B-408A-88DB-510861642E75}"/>
            </c:ext>
          </c:extLst>
        </c:ser>
        <c:dLbls>
          <c:dLblPos val="outEnd"/>
          <c:showLegendKey val="0"/>
          <c:showVal val="0"/>
          <c:showCatName val="1"/>
          <c:showSerName val="0"/>
          <c:showPercent val="0"/>
          <c:showBubbleSize val="0"/>
          <c:showLeaderLines val="1"/>
        </c:dLbls>
      </c:pie3DChart>
      <c:spPr>
        <a:noFill/>
        <a:ln>
          <a:noFill/>
        </a:ln>
        <a:effectLst/>
      </c:spPr>
    </c:plotArea>
    <c:legend>
      <c:legendPos val="b"/>
      <c:layout>
        <c:manualLayout>
          <c:xMode val="edge"/>
          <c:yMode val="edge"/>
          <c:x val="0.12267378823696699"/>
          <c:y val="0.9125249556787145"/>
          <c:w val="0.78085876157657885"/>
          <c:h val="5.076750334006083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45720</xdr:colOff>
      <xdr:row>1</xdr:row>
      <xdr:rowOff>15240</xdr:rowOff>
    </xdr:from>
    <xdr:to>
      <xdr:col>15</xdr:col>
      <xdr:colOff>266700</xdr:colOff>
      <xdr:row>22</xdr:row>
      <xdr:rowOff>114300</xdr:rowOff>
    </xdr:to>
    <xdr:graphicFrame macro="">
      <xdr:nvGraphicFramePr>
        <xdr:cNvPr id="2" name="Chart 1">
          <a:extLst>
            <a:ext uri="{FF2B5EF4-FFF2-40B4-BE49-F238E27FC236}">
              <a16:creationId xmlns:a16="http://schemas.microsoft.com/office/drawing/2014/main" id="{94860F58-1C08-42AE-BB56-55A36E272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434340</xdr:colOff>
      <xdr:row>2</xdr:row>
      <xdr:rowOff>118108</xdr:rowOff>
    </xdr:from>
    <xdr:to>
      <xdr:col>13</xdr:col>
      <xdr:colOff>472440</xdr:colOff>
      <xdr:row>16</xdr:row>
      <xdr:rowOff>175259</xdr:rowOff>
    </xdr:to>
    <xdr:graphicFrame macro="">
      <xdr:nvGraphicFramePr>
        <xdr:cNvPr id="2" name="Chart 1">
          <a:extLst>
            <a:ext uri="{FF2B5EF4-FFF2-40B4-BE49-F238E27FC236}">
              <a16:creationId xmlns:a16="http://schemas.microsoft.com/office/drawing/2014/main" id="{22907AF1-452B-4CEF-8E22-749D40300674}"/>
            </a:ext>
            <a:ext uri="{C183D7F6-B498-43B3-948B-1728B52AA6E4}">
              <adec:decorative xmlns:adec="http://schemas.microsoft.com/office/drawing/2017/decorative" xmlns=""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320040</xdr:colOff>
      <xdr:row>21</xdr:row>
      <xdr:rowOff>121920</xdr:rowOff>
    </xdr:from>
    <xdr:to>
      <xdr:col>14</xdr:col>
      <xdr:colOff>213360</xdr:colOff>
      <xdr:row>44</xdr:row>
      <xdr:rowOff>137160</xdr:rowOff>
    </xdr:to>
    <xdr:graphicFrame macro="">
      <xdr:nvGraphicFramePr>
        <xdr:cNvPr id="4" name="Chart 3">
          <a:extLst>
            <a:ext uri="{FF2B5EF4-FFF2-40B4-BE49-F238E27FC236}">
              <a16:creationId xmlns:a16="http://schemas.microsoft.com/office/drawing/2014/main" id="{B9420B33-0B8B-4425-A406-B79AB9FDF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197223</xdr:colOff>
      <xdr:row>0</xdr:row>
      <xdr:rowOff>0</xdr:rowOff>
    </xdr:from>
    <xdr:to>
      <xdr:col>1</xdr:col>
      <xdr:colOff>539034</xdr:colOff>
      <xdr:row>4</xdr:row>
      <xdr:rowOff>93617</xdr:rowOff>
    </xdr:to>
    <xdr:pic>
      <xdr:nvPicPr>
        <xdr:cNvPr id="3" name="Picture 2" descr="A picture containing symbol, logo, font, graphics&#10;&#10;Description automatically generated">
          <a:extLst>
            <a:ext uri="{FF2B5EF4-FFF2-40B4-BE49-F238E27FC236}">
              <a16:creationId xmlns:a16="http://schemas.microsoft.com/office/drawing/2014/main" id="{4C135793-EB1F-4C3A-87CE-D36CD8968C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7223" y="0"/>
          <a:ext cx="951411" cy="92733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C10"/>
  <sheetViews>
    <sheetView workbookViewId="0">
      <selection activeCell="C1" sqref="C1:C6"/>
    </sheetView>
  </sheetViews>
  <sheetFormatPr baseColWidth="10" defaultColWidth="9" defaultRowHeight="14.25"/>
  <cols>
    <col min="1" max="1" width="36.125" customWidth="1"/>
  </cols>
  <sheetData>
    <row r="1" spans="1:3">
      <c r="A1" s="1" t="s">
        <v>39</v>
      </c>
      <c r="B1" s="28">
        <f>14/26</f>
        <v>0.53846153846153844</v>
      </c>
      <c r="C1">
        <v>14</v>
      </c>
    </row>
    <row r="2" spans="1:3">
      <c r="A2" s="1" t="s">
        <v>67</v>
      </c>
      <c r="B2" s="28">
        <f>2/26</f>
        <v>7.6923076923076927E-2</v>
      </c>
      <c r="C2">
        <v>2</v>
      </c>
    </row>
    <row r="3" spans="1:3">
      <c r="A3" s="1" t="s">
        <v>0</v>
      </c>
      <c r="B3" s="28">
        <f>5/26</f>
        <v>0.19230769230769232</v>
      </c>
      <c r="C3">
        <v>5</v>
      </c>
    </row>
    <row r="4" spans="1:3">
      <c r="A4" s="1" t="s">
        <v>41</v>
      </c>
      <c r="B4" s="28">
        <f>4/26</f>
        <v>0.15384615384615385</v>
      </c>
      <c r="C4" s="17">
        <v>4</v>
      </c>
    </row>
    <row r="5" spans="1:3">
      <c r="A5" s="1" t="s">
        <v>101</v>
      </c>
      <c r="B5" s="28">
        <f>1/26</f>
        <v>3.8461538461538464E-2</v>
      </c>
      <c r="C5" s="17">
        <v>1</v>
      </c>
    </row>
    <row r="6" spans="1:3">
      <c r="A6" s="1" t="s">
        <v>102</v>
      </c>
      <c r="B6" s="28">
        <f>1/26</f>
        <v>3.8461538461538464E-2</v>
      </c>
      <c r="C6">
        <v>1</v>
      </c>
    </row>
    <row r="7" spans="1:3">
      <c r="A7" s="1"/>
    </row>
    <row r="8" spans="1:3">
      <c r="A8" s="1"/>
    </row>
    <row r="9" spans="1:3">
      <c r="A9" s="1"/>
    </row>
    <row r="10" spans="1:3">
      <c r="A10"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B10"/>
  <sheetViews>
    <sheetView workbookViewId="0">
      <selection activeCell="B6" sqref="B6"/>
    </sheetView>
  </sheetViews>
  <sheetFormatPr baseColWidth="10" defaultColWidth="9" defaultRowHeight="14.25"/>
  <cols>
    <col min="1" max="1" width="36.125" customWidth="1"/>
  </cols>
  <sheetData>
    <row r="1" spans="1:2" ht="15.75">
      <c r="A1" s="29" t="s">
        <v>146</v>
      </c>
      <c r="B1" s="30"/>
    </row>
    <row r="3" spans="1:2">
      <c r="A3" s="1" t="s">
        <v>1</v>
      </c>
      <c r="B3">
        <v>2</v>
      </c>
    </row>
    <row r="4" spans="1:2">
      <c r="A4" s="1" t="s">
        <v>2</v>
      </c>
      <c r="B4">
        <v>2</v>
      </c>
    </row>
    <row r="5" spans="1:2">
      <c r="A5" s="1" t="s">
        <v>3</v>
      </c>
      <c r="B5">
        <v>10</v>
      </c>
    </row>
    <row r="6" spans="1:2">
      <c r="A6" s="1" t="s">
        <v>4</v>
      </c>
      <c r="B6">
        <v>0.99</v>
      </c>
    </row>
    <row r="7" spans="1:2">
      <c r="A7" s="1" t="s">
        <v>5</v>
      </c>
      <c r="B7">
        <v>0</v>
      </c>
    </row>
    <row r="8" spans="1:2">
      <c r="A8" s="1" t="s">
        <v>6</v>
      </c>
      <c r="B8">
        <v>0</v>
      </c>
    </row>
    <row r="9" spans="1:2">
      <c r="A9" s="1" t="s">
        <v>7</v>
      </c>
      <c r="B9">
        <v>0</v>
      </c>
    </row>
    <row r="10" spans="1:2">
      <c r="A10" s="1" t="s">
        <v>8</v>
      </c>
      <c r="B10">
        <v>0</v>
      </c>
    </row>
  </sheetData>
  <mergeCells count="1">
    <mergeCell ref="A1:B1"/>
  </mergeCells>
  <phoneticPr fontId="9"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filterMode="1">
    <pageSetUpPr fitToPage="1"/>
  </sheetPr>
  <dimension ref="A1:S33"/>
  <sheetViews>
    <sheetView tabSelected="1" topLeftCell="B9" zoomScale="55" zoomScaleNormal="55" workbookViewId="0">
      <selection activeCell="P6" sqref="P6"/>
    </sheetView>
  </sheetViews>
  <sheetFormatPr baseColWidth="10" defaultColWidth="9" defaultRowHeight="14.25"/>
  <cols>
    <col min="2" max="2" width="15.625" customWidth="1"/>
    <col min="3" max="3" width="16.625" customWidth="1"/>
    <col min="4" max="4" width="18.875" customWidth="1"/>
    <col min="5" max="5" width="22.5" customWidth="1"/>
    <col min="6" max="6" width="16.75" customWidth="1"/>
    <col min="7" max="7" width="18.625" customWidth="1"/>
    <col min="8" max="8" width="49.375" customWidth="1"/>
    <col min="9" max="9" width="15.875" customWidth="1"/>
    <col min="10" max="11" width="16.375" customWidth="1"/>
    <col min="12" max="12" width="15.875" customWidth="1"/>
    <col min="15" max="15" width="16.375" customWidth="1"/>
    <col min="16" max="16" width="23" customWidth="1"/>
    <col min="17" max="17" width="31.875" customWidth="1"/>
    <col min="18" max="18" width="33.5" customWidth="1"/>
    <col min="19" max="19" width="27.375" customWidth="1"/>
  </cols>
  <sheetData>
    <row r="1" spans="1:19">
      <c r="A1" s="2"/>
    </row>
    <row r="2" spans="1:19">
      <c r="A2" s="2"/>
    </row>
    <row r="3" spans="1:19">
      <c r="A3" s="2"/>
    </row>
    <row r="4" spans="1:19" ht="23.25">
      <c r="A4" s="31" t="s">
        <v>89</v>
      </c>
      <c r="B4" s="31"/>
      <c r="C4" s="31"/>
      <c r="D4" s="31"/>
      <c r="E4" s="31"/>
      <c r="F4" s="31"/>
      <c r="G4" s="31"/>
      <c r="H4" s="31"/>
      <c r="I4" s="31"/>
      <c r="J4" s="31"/>
      <c r="K4" s="31"/>
      <c r="L4" s="31"/>
      <c r="M4" s="31"/>
      <c r="N4" s="31"/>
      <c r="O4" s="31"/>
      <c r="P4" s="31"/>
      <c r="Q4" s="31"/>
      <c r="R4" s="31"/>
      <c r="S4" s="31"/>
    </row>
    <row r="5" spans="1:19">
      <c r="A5" s="2"/>
    </row>
    <row r="6" spans="1:19" ht="53.45" customHeight="1">
      <c r="A6" s="3" t="s">
        <v>9</v>
      </c>
      <c r="B6" s="3" t="s">
        <v>10</v>
      </c>
      <c r="C6" s="3" t="s">
        <v>11</v>
      </c>
      <c r="D6" s="3" t="s">
        <v>12</v>
      </c>
      <c r="E6" s="4" t="s">
        <v>13</v>
      </c>
      <c r="F6" s="3" t="s">
        <v>14</v>
      </c>
      <c r="G6" s="3" t="s">
        <v>15</v>
      </c>
      <c r="H6" s="3" t="s">
        <v>16</v>
      </c>
      <c r="I6" s="4" t="s">
        <v>17</v>
      </c>
      <c r="J6" s="4" t="s">
        <v>18</v>
      </c>
      <c r="K6" s="4" t="s">
        <v>19</v>
      </c>
      <c r="L6" s="4" t="s">
        <v>20</v>
      </c>
      <c r="M6" s="3" t="s">
        <v>21</v>
      </c>
      <c r="N6" s="3" t="s">
        <v>22</v>
      </c>
      <c r="O6" s="4" t="s">
        <v>23</v>
      </c>
      <c r="P6" s="3" t="s">
        <v>24</v>
      </c>
      <c r="Q6" s="3" t="s">
        <v>25</v>
      </c>
      <c r="R6" s="3" t="s">
        <v>26</v>
      </c>
      <c r="S6" s="3" t="s">
        <v>27</v>
      </c>
    </row>
    <row r="7" spans="1:19" ht="180" hidden="1" customHeight="1">
      <c r="A7" s="5">
        <v>1</v>
      </c>
      <c r="B7" s="23" t="s">
        <v>110</v>
      </c>
      <c r="C7" s="5" t="s">
        <v>38</v>
      </c>
      <c r="D7" s="6" t="s">
        <v>111</v>
      </c>
      <c r="E7" s="21">
        <v>45700</v>
      </c>
      <c r="F7" s="5"/>
      <c r="G7" s="5"/>
      <c r="H7" s="14" t="s">
        <v>112</v>
      </c>
      <c r="I7" s="6" t="s">
        <v>0</v>
      </c>
      <c r="J7" s="6"/>
      <c r="K7" s="6"/>
      <c r="L7" s="6"/>
      <c r="M7" s="5">
        <v>0</v>
      </c>
      <c r="N7" s="5">
        <v>3</v>
      </c>
      <c r="O7" s="5"/>
      <c r="P7" s="7" t="s">
        <v>113</v>
      </c>
      <c r="Q7" s="7" t="s">
        <v>114</v>
      </c>
      <c r="R7" s="13" t="s">
        <v>115</v>
      </c>
      <c r="S7" s="10"/>
    </row>
    <row r="8" spans="1:19" ht="180" hidden="1" customHeight="1">
      <c r="A8" s="5">
        <v>2</v>
      </c>
      <c r="B8" s="9" t="s">
        <v>45</v>
      </c>
      <c r="C8" s="8" t="s">
        <v>36</v>
      </c>
      <c r="D8" s="12" t="s">
        <v>46</v>
      </c>
      <c r="E8" s="21">
        <v>45733</v>
      </c>
      <c r="F8" s="5" t="s">
        <v>28</v>
      </c>
      <c r="G8" s="5" t="s">
        <v>28</v>
      </c>
      <c r="H8" s="14" t="s">
        <v>44</v>
      </c>
      <c r="I8" s="6" t="s">
        <v>41</v>
      </c>
      <c r="J8" s="12"/>
      <c r="K8" s="12"/>
      <c r="L8" s="12"/>
      <c r="M8" s="5">
        <v>1</v>
      </c>
      <c r="N8" s="5">
        <v>3</v>
      </c>
      <c r="O8" s="11"/>
      <c r="P8" s="7" t="s">
        <v>51</v>
      </c>
      <c r="Q8" s="7"/>
      <c r="R8" s="13" t="s">
        <v>47</v>
      </c>
      <c r="S8" s="10"/>
    </row>
    <row r="9" spans="1:19" ht="180" customHeight="1">
      <c r="A9" s="5">
        <v>3</v>
      </c>
      <c r="B9" s="9" t="s">
        <v>35</v>
      </c>
      <c r="C9" s="8" t="s">
        <v>36</v>
      </c>
      <c r="D9" s="12" t="s">
        <v>46</v>
      </c>
      <c r="E9" s="21">
        <v>45741</v>
      </c>
      <c r="F9" s="5" t="s">
        <v>39</v>
      </c>
      <c r="G9" s="5" t="s">
        <v>39</v>
      </c>
      <c r="H9" s="14" t="s">
        <v>48</v>
      </c>
      <c r="I9" s="5" t="s">
        <v>39</v>
      </c>
      <c r="J9" s="12"/>
      <c r="K9" s="12"/>
      <c r="L9" s="6" t="s">
        <v>32</v>
      </c>
      <c r="M9" s="5">
        <v>1</v>
      </c>
      <c r="N9" s="5">
        <v>2</v>
      </c>
      <c r="O9" s="11"/>
      <c r="P9" s="7" t="s">
        <v>52</v>
      </c>
      <c r="Q9" s="7"/>
      <c r="R9" s="13" t="s">
        <v>50</v>
      </c>
      <c r="S9" s="10"/>
    </row>
    <row r="10" spans="1:19" ht="165" hidden="1">
      <c r="A10" s="5">
        <v>4</v>
      </c>
      <c r="B10" s="6" t="s">
        <v>37</v>
      </c>
      <c r="C10" s="8"/>
      <c r="D10" s="18"/>
      <c r="E10" s="21">
        <v>45732</v>
      </c>
      <c r="F10" s="15" t="s">
        <v>0</v>
      </c>
      <c r="G10" s="15" t="s">
        <v>0</v>
      </c>
      <c r="H10" s="14" t="s">
        <v>53</v>
      </c>
      <c r="I10" s="6" t="s">
        <v>0</v>
      </c>
      <c r="J10" s="18"/>
      <c r="K10" s="18"/>
      <c r="L10" s="18"/>
      <c r="M10" s="5">
        <v>0</v>
      </c>
      <c r="N10" s="5">
        <v>2</v>
      </c>
      <c r="O10" s="18"/>
      <c r="P10" s="18"/>
      <c r="Q10" s="18"/>
      <c r="R10" s="18"/>
      <c r="S10" s="18"/>
    </row>
    <row r="11" spans="1:19" ht="303" customHeight="1">
      <c r="A11" s="5">
        <v>5</v>
      </c>
      <c r="B11" s="6" t="s">
        <v>37</v>
      </c>
      <c r="C11" s="8"/>
      <c r="D11" s="18"/>
      <c r="E11" s="21">
        <v>45737</v>
      </c>
      <c r="F11" s="5" t="s">
        <v>40</v>
      </c>
      <c r="G11" s="5" t="s">
        <v>40</v>
      </c>
      <c r="H11" s="16" t="s">
        <v>54</v>
      </c>
      <c r="I11" s="5" t="s">
        <v>39</v>
      </c>
      <c r="J11" s="27" t="s">
        <v>31</v>
      </c>
      <c r="K11" s="18"/>
      <c r="L11" s="6" t="s">
        <v>32</v>
      </c>
      <c r="M11" s="5">
        <v>0</v>
      </c>
      <c r="N11" s="5">
        <v>2</v>
      </c>
      <c r="O11" s="18"/>
      <c r="P11" s="18"/>
      <c r="Q11" s="18"/>
      <c r="R11" s="18"/>
      <c r="S11" s="18"/>
    </row>
    <row r="12" spans="1:19" ht="303" hidden="1" customHeight="1">
      <c r="A12" s="5">
        <v>6</v>
      </c>
      <c r="B12" s="6"/>
      <c r="C12" s="8" t="s">
        <v>38</v>
      </c>
      <c r="D12" s="8" t="s">
        <v>34</v>
      </c>
      <c r="E12" s="21" t="s">
        <v>65</v>
      </c>
      <c r="F12" s="5" t="s">
        <v>30</v>
      </c>
      <c r="G12" s="5" t="s">
        <v>30</v>
      </c>
      <c r="H12" s="14" t="s">
        <v>104</v>
      </c>
      <c r="I12" s="5" t="s">
        <v>67</v>
      </c>
      <c r="J12" s="19"/>
      <c r="K12" s="19"/>
      <c r="L12" s="19"/>
      <c r="M12" s="5">
        <v>0</v>
      </c>
      <c r="N12" s="5">
        <v>3</v>
      </c>
      <c r="O12" s="18"/>
      <c r="P12" s="18"/>
      <c r="Q12" s="18"/>
      <c r="R12" s="18"/>
      <c r="S12" s="18"/>
    </row>
    <row r="13" spans="1:19" ht="303" hidden="1" customHeight="1">
      <c r="A13" s="5">
        <v>7</v>
      </c>
      <c r="B13" s="6"/>
      <c r="C13" s="8" t="s">
        <v>38</v>
      </c>
      <c r="D13" s="8" t="s">
        <v>38</v>
      </c>
      <c r="E13" s="21" t="s">
        <v>65</v>
      </c>
      <c r="F13" s="5"/>
      <c r="G13" s="5"/>
      <c r="H13" s="14" t="s">
        <v>66</v>
      </c>
      <c r="I13" s="5" t="s">
        <v>39</v>
      </c>
      <c r="J13" s="18"/>
      <c r="K13" s="18"/>
      <c r="L13" s="6" t="s">
        <v>72</v>
      </c>
      <c r="M13" s="5"/>
      <c r="N13" s="5"/>
      <c r="O13" s="18"/>
      <c r="P13" s="18"/>
      <c r="Q13" s="18"/>
      <c r="R13" s="18"/>
      <c r="S13" s="18"/>
    </row>
    <row r="14" spans="1:19" ht="303" hidden="1" customHeight="1">
      <c r="A14" s="5">
        <v>8</v>
      </c>
      <c r="B14" s="6" t="s">
        <v>55</v>
      </c>
      <c r="C14" s="8" t="s">
        <v>43</v>
      </c>
      <c r="D14" s="12" t="s">
        <v>42</v>
      </c>
      <c r="E14" s="21">
        <v>45782</v>
      </c>
      <c r="F14" s="5" t="s">
        <v>28</v>
      </c>
      <c r="G14" s="5" t="s">
        <v>29</v>
      </c>
      <c r="H14" s="14" t="s">
        <v>73</v>
      </c>
      <c r="I14" s="5" t="s">
        <v>39</v>
      </c>
      <c r="J14" s="19"/>
      <c r="K14" s="19"/>
      <c r="L14" s="6" t="s">
        <v>72</v>
      </c>
      <c r="M14" s="5">
        <v>2</v>
      </c>
      <c r="N14" s="5">
        <v>3</v>
      </c>
      <c r="O14" s="18"/>
      <c r="P14" s="7" t="s">
        <v>56</v>
      </c>
      <c r="Q14" s="7" t="s">
        <v>57</v>
      </c>
      <c r="R14" s="7" t="s">
        <v>58</v>
      </c>
      <c r="S14" s="7" t="s">
        <v>59</v>
      </c>
    </row>
    <row r="15" spans="1:19" ht="320.45" hidden="1" customHeight="1">
      <c r="A15" s="5">
        <v>9</v>
      </c>
      <c r="B15" s="6" t="s">
        <v>60</v>
      </c>
      <c r="C15" s="8" t="s">
        <v>33</v>
      </c>
      <c r="D15" s="12" t="s">
        <v>61</v>
      </c>
      <c r="E15" s="21">
        <v>45785</v>
      </c>
      <c r="F15" s="5" t="s">
        <v>28</v>
      </c>
      <c r="G15" s="5" t="s">
        <v>49</v>
      </c>
      <c r="H15" s="14" t="s">
        <v>62</v>
      </c>
      <c r="I15" s="6" t="s">
        <v>41</v>
      </c>
      <c r="J15" s="19"/>
      <c r="K15" s="19"/>
      <c r="L15" s="19"/>
      <c r="M15" s="5">
        <v>1</v>
      </c>
      <c r="N15" s="5">
        <v>3</v>
      </c>
      <c r="O15" s="18"/>
      <c r="P15" s="7" t="s">
        <v>63</v>
      </c>
      <c r="Q15" s="7" t="s">
        <v>64</v>
      </c>
      <c r="R15" s="7"/>
      <c r="S15" s="7"/>
    </row>
    <row r="16" spans="1:19" ht="99" customHeight="1">
      <c r="A16" s="5">
        <v>10</v>
      </c>
      <c r="B16" s="6"/>
      <c r="C16" s="8" t="s">
        <v>36</v>
      </c>
      <c r="D16" s="12" t="s">
        <v>36</v>
      </c>
      <c r="E16" s="21" t="s">
        <v>70</v>
      </c>
      <c r="F16" s="5"/>
      <c r="G16" s="5"/>
      <c r="H16" s="20" t="s">
        <v>68</v>
      </c>
      <c r="I16" s="5" t="s">
        <v>39</v>
      </c>
      <c r="J16" s="12" t="s">
        <v>31</v>
      </c>
      <c r="K16" s="12"/>
      <c r="L16" s="6" t="s">
        <v>32</v>
      </c>
      <c r="M16" s="5">
        <v>1</v>
      </c>
      <c r="N16" s="5">
        <v>2</v>
      </c>
      <c r="O16" s="18"/>
      <c r="P16" s="7"/>
      <c r="Q16" s="7"/>
      <c r="R16" s="7"/>
      <c r="S16" s="7"/>
    </row>
    <row r="17" spans="1:19" ht="178.15" customHeight="1">
      <c r="A17" s="5">
        <v>11</v>
      </c>
      <c r="B17" s="6" t="s">
        <v>105</v>
      </c>
      <c r="C17" s="5" t="s">
        <v>33</v>
      </c>
      <c r="D17" s="5" t="s">
        <v>33</v>
      </c>
      <c r="E17" s="21">
        <v>45806</v>
      </c>
      <c r="F17" s="5"/>
      <c r="G17" s="5"/>
      <c r="H17" s="20" t="s">
        <v>108</v>
      </c>
      <c r="I17" s="5" t="s">
        <v>39</v>
      </c>
      <c r="J17" s="19"/>
      <c r="K17" s="19"/>
      <c r="L17" s="6" t="s">
        <v>32</v>
      </c>
      <c r="M17" s="5">
        <v>1</v>
      </c>
      <c r="N17" s="5">
        <v>3</v>
      </c>
      <c r="O17" s="18"/>
      <c r="P17" s="7" t="s">
        <v>106</v>
      </c>
      <c r="Q17" s="7" t="s">
        <v>107</v>
      </c>
      <c r="R17" s="7" t="s">
        <v>109</v>
      </c>
      <c r="S17" s="7"/>
    </row>
    <row r="18" spans="1:19" ht="99" customHeight="1">
      <c r="A18" s="5">
        <v>12</v>
      </c>
      <c r="B18" s="6"/>
      <c r="C18" s="8" t="s">
        <v>36</v>
      </c>
      <c r="D18" s="12" t="s">
        <v>36</v>
      </c>
      <c r="E18" s="21" t="s">
        <v>71</v>
      </c>
      <c r="F18" s="5"/>
      <c r="G18" s="5"/>
      <c r="H18" s="20" t="s">
        <v>69</v>
      </c>
      <c r="I18" s="5" t="s">
        <v>39</v>
      </c>
      <c r="J18" s="12" t="s">
        <v>31</v>
      </c>
      <c r="K18" s="12"/>
      <c r="L18" s="6" t="s">
        <v>32</v>
      </c>
      <c r="M18" s="5">
        <v>1</v>
      </c>
      <c r="N18" s="5">
        <v>2</v>
      </c>
      <c r="O18" s="18"/>
      <c r="P18" s="7"/>
      <c r="Q18" s="7"/>
      <c r="R18" s="7"/>
      <c r="S18" s="7"/>
    </row>
    <row r="19" spans="1:19" ht="99" hidden="1" customHeight="1">
      <c r="A19" s="5">
        <v>13</v>
      </c>
      <c r="B19" s="6"/>
      <c r="C19" s="8" t="s">
        <v>38</v>
      </c>
      <c r="D19" s="12" t="s">
        <v>75</v>
      </c>
      <c r="E19" s="21">
        <v>45853</v>
      </c>
      <c r="F19" s="5" t="s">
        <v>30</v>
      </c>
      <c r="G19" s="5" t="s">
        <v>30</v>
      </c>
      <c r="H19" s="20" t="s">
        <v>74</v>
      </c>
      <c r="I19" s="5" t="s">
        <v>0</v>
      </c>
      <c r="J19" s="12"/>
      <c r="K19" s="12"/>
      <c r="L19" s="6"/>
      <c r="M19" s="5">
        <v>1</v>
      </c>
      <c r="N19" s="5">
        <v>1</v>
      </c>
      <c r="O19" s="18"/>
      <c r="P19" s="7"/>
      <c r="Q19" s="7"/>
      <c r="R19" s="7"/>
      <c r="S19" s="7"/>
    </row>
    <row r="20" spans="1:19" ht="99" hidden="1" customHeight="1">
      <c r="A20" s="5">
        <v>14</v>
      </c>
      <c r="B20" s="6"/>
      <c r="C20" s="8" t="s">
        <v>80</v>
      </c>
      <c r="D20" s="8" t="s">
        <v>80</v>
      </c>
      <c r="E20" s="21"/>
      <c r="F20" s="5" t="s">
        <v>77</v>
      </c>
      <c r="G20" s="5" t="s">
        <v>77</v>
      </c>
      <c r="H20" s="20" t="s">
        <v>76</v>
      </c>
      <c r="I20" s="5" t="s">
        <v>0</v>
      </c>
      <c r="J20" s="12"/>
      <c r="K20" s="12"/>
      <c r="L20" s="6"/>
      <c r="M20" s="5">
        <v>0</v>
      </c>
      <c r="N20" s="5">
        <v>2</v>
      </c>
      <c r="O20" s="18"/>
      <c r="P20" s="7"/>
      <c r="Q20" s="7"/>
      <c r="R20" s="7"/>
      <c r="S20" s="7"/>
    </row>
    <row r="21" spans="1:19" ht="99.75">
      <c r="A21" s="5">
        <v>15</v>
      </c>
      <c r="B21" s="6"/>
      <c r="C21" s="8" t="s">
        <v>79</v>
      </c>
      <c r="D21" s="8" t="s">
        <v>81</v>
      </c>
      <c r="E21" s="21"/>
      <c r="F21" s="5" t="s">
        <v>30</v>
      </c>
      <c r="G21" s="5" t="s">
        <v>30</v>
      </c>
      <c r="H21" s="20" t="s">
        <v>78</v>
      </c>
      <c r="I21" s="5" t="s">
        <v>39</v>
      </c>
      <c r="J21" s="26" t="s">
        <v>145</v>
      </c>
      <c r="K21" s="12"/>
      <c r="L21" s="6" t="s">
        <v>32</v>
      </c>
      <c r="M21" s="5">
        <v>0</v>
      </c>
      <c r="N21" s="5">
        <v>3</v>
      </c>
      <c r="O21" s="18"/>
      <c r="P21" s="7"/>
      <c r="Q21" s="7"/>
      <c r="R21" s="7"/>
      <c r="S21" s="7"/>
    </row>
    <row r="22" spans="1:19" ht="99" hidden="1" customHeight="1">
      <c r="A22" s="5">
        <v>16</v>
      </c>
      <c r="B22" s="6"/>
      <c r="C22" s="8" t="s">
        <v>83</v>
      </c>
      <c r="D22" s="12" t="s">
        <v>84</v>
      </c>
      <c r="E22" s="21"/>
      <c r="F22" s="5"/>
      <c r="G22" s="5"/>
      <c r="H22" s="20" t="s">
        <v>82</v>
      </c>
      <c r="I22" s="6" t="s">
        <v>41</v>
      </c>
      <c r="J22" s="12"/>
      <c r="K22" s="12"/>
      <c r="L22" s="6"/>
      <c r="M22" s="5"/>
      <c r="N22" s="5"/>
      <c r="O22" s="18"/>
      <c r="P22" s="7"/>
      <c r="Q22" s="7"/>
      <c r="R22" s="7"/>
      <c r="S22" s="7"/>
    </row>
    <row r="23" spans="1:19" ht="99" hidden="1" customHeight="1">
      <c r="A23" s="5">
        <v>17</v>
      </c>
      <c r="B23" s="6"/>
      <c r="C23" s="8" t="s">
        <v>38</v>
      </c>
      <c r="D23" s="12"/>
      <c r="E23" s="21"/>
      <c r="F23" s="5"/>
      <c r="G23" s="5"/>
      <c r="H23" s="20" t="s">
        <v>85</v>
      </c>
      <c r="I23" s="6" t="s">
        <v>41</v>
      </c>
      <c r="J23" s="12"/>
      <c r="K23" s="12"/>
      <c r="L23" s="6"/>
      <c r="M23" s="5"/>
      <c r="N23" s="5"/>
      <c r="O23" s="18"/>
      <c r="P23" s="7"/>
      <c r="Q23" s="7"/>
      <c r="R23" s="7"/>
      <c r="S23" s="7"/>
    </row>
    <row r="24" spans="1:19" ht="99" hidden="1" customHeight="1">
      <c r="A24" s="5">
        <v>18</v>
      </c>
      <c r="B24" s="6"/>
      <c r="C24" s="8"/>
      <c r="D24" s="12"/>
      <c r="E24" s="21">
        <v>45891</v>
      </c>
      <c r="F24" s="5" t="s">
        <v>95</v>
      </c>
      <c r="G24" s="5" t="s">
        <v>95</v>
      </c>
      <c r="H24" s="20" t="s">
        <v>86</v>
      </c>
      <c r="I24" s="6" t="s">
        <v>103</v>
      </c>
      <c r="J24" s="12"/>
      <c r="K24" s="12"/>
      <c r="L24" s="6"/>
      <c r="M24" s="5">
        <v>1</v>
      </c>
      <c r="N24" s="5">
        <v>3</v>
      </c>
      <c r="O24" s="18" t="s">
        <v>94</v>
      </c>
      <c r="P24" s="7"/>
      <c r="Q24" s="7"/>
      <c r="R24" s="7"/>
      <c r="S24" s="7"/>
    </row>
    <row r="25" spans="1:19" ht="99" customHeight="1">
      <c r="A25" s="5">
        <v>19</v>
      </c>
      <c r="B25" s="6" t="s">
        <v>60</v>
      </c>
      <c r="C25" s="8" t="s">
        <v>38</v>
      </c>
      <c r="D25" s="8" t="s">
        <v>38</v>
      </c>
      <c r="E25" s="21">
        <v>45900</v>
      </c>
      <c r="F25" s="5" t="s">
        <v>90</v>
      </c>
      <c r="G25" s="5" t="s">
        <v>88</v>
      </c>
      <c r="H25" s="20" t="s">
        <v>87</v>
      </c>
      <c r="I25" s="5" t="s">
        <v>39</v>
      </c>
      <c r="J25" s="12"/>
      <c r="K25" s="12"/>
      <c r="L25" s="6" t="s">
        <v>32</v>
      </c>
      <c r="M25" s="5">
        <v>1</v>
      </c>
      <c r="N25" s="5">
        <v>3</v>
      </c>
      <c r="O25" s="18"/>
      <c r="P25" s="22" t="s">
        <v>91</v>
      </c>
      <c r="Q25" s="7" t="s">
        <v>92</v>
      </c>
      <c r="R25" s="7" t="s">
        <v>93</v>
      </c>
      <c r="S25" s="7"/>
    </row>
    <row r="26" spans="1:19" ht="113.45" hidden="1" customHeight="1">
      <c r="A26" s="5">
        <v>20</v>
      </c>
      <c r="B26" s="6" t="s">
        <v>97</v>
      </c>
      <c r="C26" s="8" t="s">
        <v>79</v>
      </c>
      <c r="D26" s="8" t="s">
        <v>79</v>
      </c>
      <c r="E26" s="21">
        <v>45927</v>
      </c>
      <c r="F26" s="5" t="s">
        <v>30</v>
      </c>
      <c r="G26" s="5" t="s">
        <v>30</v>
      </c>
      <c r="H26" s="20" t="s">
        <v>96</v>
      </c>
      <c r="I26" s="5" t="s">
        <v>67</v>
      </c>
      <c r="J26" s="12"/>
      <c r="K26" s="12"/>
      <c r="L26" s="6"/>
      <c r="M26" s="5">
        <v>1</v>
      </c>
      <c r="N26" s="5">
        <v>1</v>
      </c>
      <c r="O26" s="18"/>
      <c r="P26" s="22" t="s">
        <v>98</v>
      </c>
      <c r="Q26" s="7" t="s">
        <v>99</v>
      </c>
      <c r="R26" s="7" t="s">
        <v>100</v>
      </c>
      <c r="S26" s="7"/>
    </row>
    <row r="27" spans="1:19" ht="171.6" customHeight="1">
      <c r="A27" s="5">
        <v>21</v>
      </c>
      <c r="B27" s="6" t="s">
        <v>105</v>
      </c>
      <c r="C27" s="12" t="s">
        <v>116</v>
      </c>
      <c r="D27" s="8" t="s">
        <v>117</v>
      </c>
      <c r="E27" s="21">
        <v>45931</v>
      </c>
      <c r="F27" s="27"/>
      <c r="G27" s="27"/>
      <c r="H27" s="14" t="s">
        <v>118</v>
      </c>
      <c r="I27" s="27" t="s">
        <v>39</v>
      </c>
      <c r="J27" s="12"/>
      <c r="K27" s="12"/>
      <c r="L27" s="6" t="s">
        <v>32</v>
      </c>
      <c r="M27" s="5">
        <v>1</v>
      </c>
      <c r="N27" s="5">
        <v>3</v>
      </c>
      <c r="O27" s="18"/>
      <c r="P27" s="22" t="s">
        <v>119</v>
      </c>
      <c r="Q27" s="7"/>
      <c r="R27" s="7" t="s">
        <v>120</v>
      </c>
      <c r="S27" s="7"/>
    </row>
    <row r="28" spans="1:19" ht="113.45" hidden="1" customHeight="1">
      <c r="A28" s="5">
        <v>22</v>
      </c>
      <c r="B28" s="6"/>
      <c r="C28" s="8" t="s">
        <v>79</v>
      </c>
      <c r="D28" s="8" t="s">
        <v>79</v>
      </c>
      <c r="E28" s="21"/>
      <c r="F28" s="5" t="s">
        <v>0</v>
      </c>
      <c r="G28" s="5" t="s">
        <v>0</v>
      </c>
      <c r="H28" s="14" t="s">
        <v>121</v>
      </c>
      <c r="I28" s="5" t="s">
        <v>0</v>
      </c>
      <c r="J28" s="12"/>
      <c r="K28" s="12"/>
      <c r="L28" s="6"/>
      <c r="M28" s="5"/>
      <c r="N28" s="5"/>
      <c r="O28" s="18"/>
      <c r="P28" s="22"/>
      <c r="Q28" s="7"/>
      <c r="R28" s="7"/>
      <c r="S28" s="7"/>
    </row>
    <row r="29" spans="1:19" ht="113.45" hidden="1" customHeight="1">
      <c r="A29" s="5">
        <v>23</v>
      </c>
      <c r="B29" s="6" t="s">
        <v>122</v>
      </c>
      <c r="C29" s="8" t="s">
        <v>36</v>
      </c>
      <c r="D29" s="12" t="s">
        <v>123</v>
      </c>
      <c r="E29" s="21">
        <v>45938</v>
      </c>
      <c r="F29" s="27"/>
      <c r="G29" s="27"/>
      <c r="H29" s="14" t="s">
        <v>128</v>
      </c>
      <c r="I29" s="5" t="s">
        <v>39</v>
      </c>
      <c r="J29" s="26" t="s">
        <v>145</v>
      </c>
      <c r="K29" s="12"/>
      <c r="L29" s="26" t="s">
        <v>144</v>
      </c>
      <c r="M29" s="5">
        <v>2</v>
      </c>
      <c r="N29" s="5">
        <v>3</v>
      </c>
      <c r="O29" s="18"/>
      <c r="P29" s="22" t="s">
        <v>124</v>
      </c>
      <c r="Q29" s="7" t="s">
        <v>125</v>
      </c>
      <c r="R29" s="7" t="s">
        <v>126</v>
      </c>
      <c r="S29" s="7"/>
    </row>
    <row r="30" spans="1:19" ht="113.45" customHeight="1">
      <c r="A30" s="5">
        <v>24</v>
      </c>
      <c r="B30" s="6"/>
      <c r="C30" s="5" t="s">
        <v>79</v>
      </c>
      <c r="D30" s="5" t="s">
        <v>79</v>
      </c>
      <c r="E30" s="21"/>
      <c r="F30" s="5"/>
      <c r="G30" s="5"/>
      <c r="H30" s="14" t="s">
        <v>127</v>
      </c>
      <c r="I30" s="5" t="s">
        <v>39</v>
      </c>
      <c r="J30" s="26" t="s">
        <v>145</v>
      </c>
      <c r="K30" s="12"/>
      <c r="L30" s="6" t="s">
        <v>32</v>
      </c>
      <c r="M30" s="27">
        <v>1</v>
      </c>
      <c r="N30" s="27">
        <v>2</v>
      </c>
      <c r="O30" s="18"/>
      <c r="P30" s="22"/>
      <c r="Q30" s="7"/>
      <c r="R30" s="7"/>
      <c r="S30" s="7"/>
    </row>
    <row r="31" spans="1:19" ht="113.45" customHeight="1">
      <c r="A31" s="5">
        <v>25</v>
      </c>
      <c r="B31" s="6" t="s">
        <v>130</v>
      </c>
      <c r="C31" s="8" t="s">
        <v>38</v>
      </c>
      <c r="D31" s="12" t="s">
        <v>131</v>
      </c>
      <c r="E31" s="21">
        <v>45939</v>
      </c>
      <c r="F31" s="5"/>
      <c r="G31" s="5"/>
      <c r="H31" s="14" t="s">
        <v>129</v>
      </c>
      <c r="I31" s="5" t="s">
        <v>39</v>
      </c>
      <c r="J31" s="26" t="s">
        <v>145</v>
      </c>
      <c r="K31" s="12"/>
      <c r="L31" s="6" t="s">
        <v>32</v>
      </c>
      <c r="M31" s="5">
        <v>1</v>
      </c>
      <c r="N31" s="27">
        <v>2</v>
      </c>
      <c r="O31" s="18"/>
      <c r="P31" s="22"/>
      <c r="Q31" s="7"/>
      <c r="R31" s="7" t="s">
        <v>132</v>
      </c>
      <c r="S31" s="7" t="s">
        <v>133</v>
      </c>
    </row>
    <row r="32" spans="1:19" ht="345.6" hidden="1" customHeight="1">
      <c r="A32" s="5">
        <v>26</v>
      </c>
      <c r="B32" s="23" t="s">
        <v>134</v>
      </c>
      <c r="C32" s="5" t="s">
        <v>135</v>
      </c>
      <c r="D32" s="6" t="s">
        <v>136</v>
      </c>
      <c r="E32" s="25">
        <v>46033</v>
      </c>
      <c r="F32" s="5"/>
      <c r="G32" s="5"/>
      <c r="H32" s="14" t="s">
        <v>137</v>
      </c>
      <c r="I32" s="27" t="s">
        <v>39</v>
      </c>
      <c r="J32" s="26" t="s">
        <v>31</v>
      </c>
      <c r="K32" s="6"/>
      <c r="L32" s="26" t="s">
        <v>144</v>
      </c>
      <c r="M32" s="5">
        <v>2</v>
      </c>
      <c r="N32" s="5">
        <v>3</v>
      </c>
      <c r="O32" s="5" t="s">
        <v>138</v>
      </c>
      <c r="P32" s="7" t="s">
        <v>139</v>
      </c>
      <c r="Q32" s="7"/>
      <c r="R32" s="13" t="s">
        <v>140</v>
      </c>
      <c r="S32" s="24" t="s">
        <v>141</v>
      </c>
    </row>
    <row r="33" spans="1:19" ht="345.6" hidden="1" customHeight="1">
      <c r="A33" s="5">
        <v>27</v>
      </c>
      <c r="B33" s="23"/>
      <c r="C33" s="5" t="s">
        <v>36</v>
      </c>
      <c r="D33" s="5" t="s">
        <v>36</v>
      </c>
      <c r="E33" s="25">
        <v>46044</v>
      </c>
      <c r="F33" s="5" t="s">
        <v>142</v>
      </c>
      <c r="G33" s="5"/>
      <c r="H33" s="14" t="s">
        <v>143</v>
      </c>
      <c r="I33" s="6"/>
      <c r="J33" s="6"/>
      <c r="K33" s="6"/>
      <c r="L33" s="6"/>
      <c r="M33" s="5"/>
      <c r="N33" s="5"/>
      <c r="O33" s="5"/>
      <c r="P33" s="7"/>
      <c r="Q33" s="7"/>
      <c r="R33" s="13"/>
      <c r="S33" s="24"/>
    </row>
  </sheetData>
  <autoFilter ref="A6:U33">
    <filterColumn colId="8">
      <filters>
        <filter val="Process Safety"/>
      </filters>
    </filterColumn>
    <filterColumn colId="11">
      <filters>
        <filter val="PSE_x000a_(Tier 3)"/>
      </filters>
    </filterColumn>
  </autoFilter>
  <mergeCells count="1">
    <mergeCell ref="A4:S4"/>
  </mergeCells>
  <phoneticPr fontId="9" type="noConversion"/>
  <pageMargins left="0.7" right="0.7" top="0.75" bottom="0.75" header="0.3" footer="0.3"/>
  <pageSetup paperSize="8" scale="21" orientation="landscape" horizontalDpi="0"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Incidents Breakdown</vt:lpstr>
      <vt:lpstr>Process Safety Chart</vt:lpstr>
      <vt:lpstr>Incident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Achraf Ben Dhifallah</dc:creator>
  <cp:keywords/>
  <dc:description/>
  <cp:lastModifiedBy>win10</cp:lastModifiedBy>
  <cp:revision/>
  <cp:lastPrinted>2025-10-13T07:57:47Z</cp:lastPrinted>
  <dcterms:created xsi:type="dcterms:W3CDTF">2024-06-27T17:47:17Z</dcterms:created>
  <dcterms:modified xsi:type="dcterms:W3CDTF">2026-03-22T20:02:51Z</dcterms:modified>
  <cp:category/>
  <cp:contentStatus/>
</cp:coreProperties>
</file>